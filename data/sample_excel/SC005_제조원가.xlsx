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메타정보" sheetId="1" state="visible" r:id="rId3"/>
    <sheet name="그리드컬럼" sheetId="2" state="visible" r:id="rId4"/>
    <sheet name="샘플데이터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<sst xmlns="http://schemas.openxmlformats.org/spreadsheetml/2006/main" count="275" uniqueCount="129">
  <si>
    <t xml:space="preserve">화면정의서</t>
  </si>
  <si>
    <t xml:space="preserve">화면명</t>
  </si>
  <si>
    <t xml:space="preserve">제조원가(제품)</t>
  </si>
  <si>
    <t xml:space="preserve">화면명(영문)</t>
  </si>
  <si>
    <t xml:space="preserve">테이블명</t>
  </si>
  <si>
    <t xml:space="preserve">doi_stco</t>
  </si>
  <si>
    <t xml:space="preserve">옵션</t>
  </si>
  <si>
    <t xml:space="preserve">년월</t>
  </si>
  <si>
    <t xml:space="preserve">단위 : 수량_EA / L, 금액_\</t>
  </si>
  <si>
    <t xml:space="preserve">구분</t>
  </si>
  <si>
    <t xml:space="preserve">코드</t>
  </si>
  <si>
    <t xml:space="preserve">Inch</t>
  </si>
  <si>
    <t xml:space="preserve">SITE</t>
  </si>
  <si>
    <t xml:space="preserve">계획</t>
  </si>
  <si>
    <t xml:space="preserve">계획 대비 실적</t>
  </si>
  <si>
    <t xml:space="preserve">달성률</t>
  </si>
  <si>
    <t xml:space="preserve">기초재공품재고(BOH)</t>
  </si>
  <si>
    <t xml:space="preserve">입고(IN)</t>
  </si>
  <si>
    <t xml:space="preserve">출고(OUT)</t>
  </si>
  <si>
    <t xml:space="preserve">불량률</t>
  </si>
  <si>
    <t xml:space="preserve">기말재공품재고(EOH)</t>
  </si>
  <si>
    <t xml:space="preserve">plan_qty</t>
  </si>
  <si>
    <t xml:space="preserve">plan_amt</t>
  </si>
  <si>
    <t xml:space="preserve">actual_qty</t>
  </si>
  <si>
    <t xml:space="preserve">actual_amt</t>
  </si>
  <si>
    <t xml:space="preserve">achv_qty</t>
  </si>
  <si>
    <t xml:space="preserve">achv_amt</t>
  </si>
  <si>
    <t xml:space="preserve">boh_qty</t>
  </si>
  <si>
    <t xml:space="preserve">boh_amt</t>
  </si>
  <si>
    <t xml:space="preserve">생산입고수량</t>
  </si>
  <si>
    <t xml:space="preserve">생산입고금액</t>
  </si>
  <si>
    <t xml:space="preserve">타계정입고수량</t>
  </si>
  <si>
    <t xml:space="preserve">타계정입고금액</t>
  </si>
  <si>
    <t xml:space="preserve">출고수량</t>
  </si>
  <si>
    <t xml:space="preserve">출고금액</t>
  </si>
  <si>
    <t xml:space="preserve">타계정출고수량</t>
  </si>
  <si>
    <t xml:space="preserve">타계정출고금액</t>
  </si>
  <si>
    <t xml:space="preserve">LOSS수량</t>
  </si>
  <si>
    <t xml:space="preserve">LOSS금액</t>
  </si>
  <si>
    <t xml:space="preserve">eoh_qty</t>
  </si>
  <si>
    <t xml:space="preserve">eoh_amt</t>
  </si>
  <si>
    <t xml:space="preserve">당월 총 생산실적</t>
  </si>
  <si>
    <t xml:space="preserve">양산</t>
  </si>
  <si>
    <t xml:space="preserve">8.00"</t>
  </si>
  <si>
    <t xml:space="preserve">MX</t>
  </si>
  <si>
    <r>
      <rPr>
        <sz val="12"/>
        <color theme="1"/>
        <rFont val="Calibri"/>
        <family val="2"/>
        <charset val="1"/>
      </rPr>
      <t xml:space="preserve">1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</si>
  <si>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</si>
  <si>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3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</si>
  <si>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4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</si>
  <si>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5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</si>
  <si>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6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</si>
  <si>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7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</si>
  <si>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8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</si>
  <si>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9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</si>
  <si>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10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</si>
  <si>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11</t>
    </r>
    <r>
      <rPr>
        <sz val="12"/>
        <color theme="1"/>
        <rFont val="Noto Sans CJK SC"/>
        <family val="2"/>
      </rPr>
      <t xml:space="preserve">월</t>
    </r>
  </si>
  <si>
    <r>
      <rPr>
        <sz val="12"/>
        <color theme="1"/>
        <rFont val="Calibri"/>
        <family val="2"/>
        <charset val="1"/>
      </rPr>
      <t xml:space="preserve">12</t>
    </r>
    <r>
      <rPr>
        <sz val="12"/>
        <color theme="1"/>
        <rFont val="Noto Sans CJK SC"/>
        <family val="2"/>
      </rPr>
      <t xml:space="preserve">월</t>
    </r>
  </si>
  <si>
    <t xml:space="preserve">7.10"</t>
  </si>
  <si>
    <t xml:space="preserve">기타</t>
  </si>
  <si>
    <t xml:space="preserve">양산 소계</t>
  </si>
  <si>
    <t xml:space="preserve">개발</t>
  </si>
  <si>
    <t xml:space="preserve">8.15"</t>
  </si>
  <si>
    <t xml:space="preserve">Global</t>
  </si>
  <si>
    <t xml:space="preserve">9.00"</t>
  </si>
  <si>
    <r>
      <rPr>
        <sz val="12"/>
        <color theme="1"/>
        <rFont val="Calibri"/>
        <family val="2"/>
        <charset val="1"/>
      </rPr>
      <t xml:space="preserve">P</t>
    </r>
    <r>
      <rPr>
        <sz val="12"/>
        <color theme="1"/>
        <rFont val="Noto Sans CJK SC"/>
        <family val="2"/>
      </rPr>
      <t xml:space="preserve">社</t>
    </r>
  </si>
  <si>
    <t xml:space="preserve">개발 소계</t>
  </si>
  <si>
    <t xml:space="preserve">카세트</t>
  </si>
  <si>
    <t xml:space="preserve">VN813P01</t>
  </si>
  <si>
    <t xml:space="preserve">VINA</t>
  </si>
  <si>
    <t xml:space="preserve">VN800P0</t>
  </si>
  <si>
    <t xml:space="preserve">카세트 소계</t>
  </si>
  <si>
    <t xml:space="preserve">SITE 別 합계</t>
  </si>
  <si>
    <t xml:space="preserve">P 社</t>
  </si>
  <si>
    <t xml:space="preserve">yyyymm</t>
  </si>
  <si>
    <t xml:space="preserve">site</t>
  </si>
  <si>
    <t xml:space="preserve">sel_code</t>
  </si>
  <si>
    <t xml:space="preserve">model</t>
  </si>
  <si>
    <t xml:space="preserve">expen_sel</t>
  </si>
  <si>
    <t xml:space="preserve">expen_sel_name</t>
  </si>
  <si>
    <t xml:space="preserve">boh</t>
  </si>
  <si>
    <t xml:space="preserve">input</t>
  </si>
  <si>
    <t xml:space="preserve">out</t>
  </si>
  <si>
    <t xml:space="preserve">eoh</t>
  </si>
  <si>
    <t xml:space="preserve">in_amt</t>
  </si>
  <si>
    <t xml:space="preserve">out_amt</t>
  </si>
  <si>
    <t xml:space="preserve">202510</t>
  </si>
  <si>
    <t xml:space="preserve">HQ</t>
  </si>
  <si>
    <t xml:space="preserve">ACTUAL</t>
  </si>
  <si>
    <t xml:space="preserve">0201</t>
  </si>
  <si>
    <t xml:space="preserve">MCOM</t>
  </si>
  <si>
    <t xml:space="preserve">제)통신비</t>
  </si>
  <si>
    <t xml:space="preserve">MDEP</t>
  </si>
  <si>
    <t xml:space="preserve">제)감가상각비</t>
  </si>
  <si>
    <t xml:space="preserve">MEAL</t>
  </si>
  <si>
    <t xml:space="preserve">제)복리후생비-사내식대</t>
  </si>
  <si>
    <t xml:space="preserve">MELC</t>
  </si>
  <si>
    <t xml:space="preserve">제)전력비</t>
  </si>
  <si>
    <t xml:space="preserve">MEMP</t>
  </si>
  <si>
    <t xml:space="preserve">제)보험료-고용,산재보험</t>
  </si>
  <si>
    <t xml:space="preserve">MFEE</t>
  </si>
  <si>
    <t xml:space="preserve">제)지급수수료-기타</t>
  </si>
  <si>
    <t xml:space="preserve">MFUE</t>
  </si>
  <si>
    <t xml:space="preserve">제)차량유지비-유류비</t>
  </si>
  <si>
    <t xml:space="preserve">MHLT</t>
  </si>
  <si>
    <t xml:space="preserve">제)복리후생비-건강,장기요양보험</t>
  </si>
  <si>
    <t xml:space="preserve">MHRB</t>
  </si>
  <si>
    <t xml:space="preserve">제)인건비</t>
  </si>
  <si>
    <t xml:space="preserve">MINS</t>
  </si>
  <si>
    <t xml:space="preserve">제)보험료-기타</t>
  </si>
  <si>
    <t xml:space="preserve">MISC</t>
  </si>
  <si>
    <t xml:space="preserve">제)기타</t>
  </si>
  <si>
    <t xml:space="preserve">MMNT</t>
  </si>
  <si>
    <t xml:space="preserve">제)지급수수료-유지보수료</t>
  </si>
  <si>
    <t xml:space="preserve">MPEN</t>
  </si>
  <si>
    <t xml:space="preserve">제)세금과공과-연금보험</t>
  </si>
  <si>
    <t xml:space="preserve">MREP</t>
  </si>
  <si>
    <t xml:space="preserve">제)수선비</t>
  </si>
  <si>
    <t xml:space="preserve">MRNT</t>
  </si>
  <si>
    <t xml:space="preserve">제)지급임차료</t>
  </si>
  <si>
    <t xml:space="preserve">MSUP</t>
  </si>
  <si>
    <t xml:space="preserve">제)소모품비</t>
  </si>
  <si>
    <t xml:space="preserve">MTAX</t>
  </si>
  <si>
    <t xml:space="preserve">제)세금과공과-기타</t>
  </si>
  <si>
    <t xml:space="preserve">MTRS</t>
  </si>
  <si>
    <t xml:space="preserve">제)운반비</t>
  </si>
  <si>
    <t xml:space="preserve">MTRV</t>
  </si>
  <si>
    <t xml:space="preserve">제)여비교통비</t>
  </si>
  <si>
    <t xml:space="preserve">MUTI</t>
  </si>
  <si>
    <t xml:space="preserve">제)수도광열비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</si>
</sst>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_-* #,##0_-;\-* #,##0_-;_-* \-_-;_-@_-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Noto Sans CJK SC"/>
      <family val="2"/>
      <charset val="1"/>
    </font>
    <font>
      <b val="true"/>
      <sz val="11"/>
      <color theme="1"/>
      <name val="맑은 고딕"/>
      <family val="3"/>
      <charset val="129"/>
    </font>
    <font>
      <b val="true"/>
      <sz val="11"/>
      <color rgb="FFFF0000"/>
      <name val="맑은 고딕"/>
      <family val="3"/>
      <charset val="129"/>
    </font>
    <font>
      <sz val="12"/>
      <color theme="1"/>
      <name val="Noto Sans CJK SC"/>
      <family val="2"/>
    </font>
    <font>
      <b val="true"/>
      <sz val="11"/>
      <color theme="0"/>
      <name val="맑은 고딕"/>
      <family val="3"/>
      <charset val="129"/>
    </font>
    <font>
      <b val="true"/>
      <sz val="1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50.83"/>
  </cols>
  <sheetData>
    <row r="1" customFormat="false" ht="15" hidden="false" customHeight="true" outlineLevel="0" collapsed="false">
      <c r="A1" s="2" t="s">
        <v>0</v>
      </c>
    </row>
    <row r="2" customFormat="false" ht="16.5" hidden="false" customHeight="true" outlineLevel="0" collapsed="false">
      <c r="A2" s="2" t="s">
        <v>1</v>
      </c>
      <c r="B2" s="3" t="s">
        <v>2</v>
      </c>
    </row>
    <row r="3" customFormat="false" ht="18.75" hidden="false" customHeight="true" outlineLevel="0" collapsed="false">
      <c r="A3" s="2" t="s">
        <v>3</v>
      </c>
    </row>
    <row r="4" customFormat="false" ht="15" hidden="false" customHeight="true" outlineLevel="0" collapsed="false">
      <c r="A4" s="2" t="s">
        <v>4</v>
      </c>
      <c r="B4" s="4" t="s">
        <v>5</v>
      </c>
    </row>
    <row r="5" customFormat="false" ht="19.4" hidden="false" customHeight="false" outlineLevel="0" collapsed="false">
      <c r="A5" s="5" t="s">
        <v>6</v>
      </c>
      <c r="B5" s="5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20" activeCellId="0" sqref="G20"/>
    </sheetView>
  </sheetViews>
  <sheetFormatPr defaultColWidth="9.34375" defaultRowHeight="15" zeroHeight="false" outlineLevelRow="0" outlineLevelCol="0"/>
  <cols>
    <col collapsed="false" customWidth="true" hidden="false" outlineLevel="0" max="1" min="1" style="1" width="9.51"/>
    <col collapsed="false" customWidth="true" hidden="false" outlineLevel="0" max="2" min="2" style="1" width="12.54"/>
    <col collapsed="false" customWidth="true" hidden="false" outlineLevel="0" max="3" min="3" style="1" width="21.44"/>
    <col collapsed="false" customWidth="true" hidden="false" outlineLevel="0" max="4" min="4" style="1" width="10.18"/>
    <col collapsed="false" customWidth="true" hidden="false" outlineLevel="0" max="5" min="5" style="1" width="11.42"/>
    <col collapsed="false" customWidth="true" hidden="false" outlineLevel="0" max="6" min="6" style="1" width="25.5"/>
    <col collapsed="false" customWidth="true" hidden="false" outlineLevel="0" max="12" min="7" style="1" width="7.59"/>
    <col collapsed="false" customWidth="true" hidden="false" outlineLevel="0" max="15" min="13" style="1" width="10.74"/>
    <col collapsed="false" customWidth="true" hidden="false" outlineLevel="0" max="18" min="16" style="1" width="7.59"/>
    <col collapsed="false" customWidth="true" hidden="false" outlineLevel="0" max="20" min="19" style="1" width="10.74"/>
    <col collapsed="false" customWidth="true" hidden="false" outlineLevel="0" max="21" min="21" style="1" width="20.32"/>
    <col collapsed="false" customWidth="true" hidden="false" outlineLevel="0" max="24" min="22" style="1" width="7.59"/>
  </cols>
  <sheetData>
    <row r="1" customFormat="false" ht="18.75" hidden="false" customHeight="true" outlineLevel="0" collapsed="false">
      <c r="A1" s="3" t="s">
        <v>2</v>
      </c>
      <c r="B1" s="6"/>
      <c r="C1" s="7"/>
      <c r="D1" s="7"/>
      <c r="E1" s="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9" t="s">
        <v>8</v>
      </c>
      <c r="V1" s="7"/>
      <c r="W1" s="7"/>
      <c r="X1" s="7"/>
    </row>
    <row r="2" customFormat="false" ht="16.5" hidden="false" customHeight="true" outlineLevel="0" collapsed="false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/>
      <c r="G2" s="10" t="s">
        <v>14</v>
      </c>
      <c r="H2" s="10"/>
      <c r="I2" s="10" t="s">
        <v>15</v>
      </c>
      <c r="J2" s="10"/>
      <c r="K2" s="10" t="s">
        <v>16</v>
      </c>
      <c r="L2" s="10"/>
      <c r="M2" s="10" t="s">
        <v>17</v>
      </c>
      <c r="N2" s="10"/>
      <c r="O2" s="10"/>
      <c r="P2" s="10"/>
      <c r="Q2" s="10" t="s">
        <v>18</v>
      </c>
      <c r="R2" s="10"/>
      <c r="S2" s="10"/>
      <c r="T2" s="10"/>
      <c r="U2" s="10"/>
      <c r="V2" s="10"/>
      <c r="W2" s="11" t="s">
        <v>19</v>
      </c>
      <c r="X2" s="10" t="s">
        <v>20</v>
      </c>
      <c r="Y2" s="10"/>
      <c r="Z2" s="12"/>
    </row>
    <row r="3" customFormat="false" ht="16.5" hidden="false" customHeight="true" outlineLevel="0" collapsed="false">
      <c r="A3" s="10"/>
      <c r="B3" s="10"/>
      <c r="C3" s="10"/>
      <c r="D3" s="10"/>
      <c r="E3" s="10" t="s">
        <v>21</v>
      </c>
      <c r="F3" s="10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27</v>
      </c>
      <c r="L3" s="13" t="s">
        <v>28</v>
      </c>
      <c r="M3" s="13" t="s">
        <v>29</v>
      </c>
      <c r="N3" s="13" t="s">
        <v>30</v>
      </c>
      <c r="O3" s="13" t="s">
        <v>31</v>
      </c>
      <c r="P3" s="13" t="s">
        <v>32</v>
      </c>
      <c r="Q3" s="13" t="s">
        <v>33</v>
      </c>
      <c r="R3" s="13" t="s">
        <v>34</v>
      </c>
      <c r="S3" s="13" t="s">
        <v>35</v>
      </c>
      <c r="T3" s="13" t="s">
        <v>36</v>
      </c>
      <c r="U3" s="13" t="s">
        <v>37</v>
      </c>
      <c r="V3" s="13" t="s">
        <v>38</v>
      </c>
      <c r="W3" s="11"/>
      <c r="X3" s="13" t="s">
        <v>39</v>
      </c>
      <c r="Y3" s="13" t="s">
        <v>40</v>
      </c>
      <c r="Z3" s="12"/>
    </row>
    <row r="4" customFormat="false" ht="15" hidden="false" customHeight="true" outlineLevel="0" collapsed="false">
      <c r="A4" s="14" t="s">
        <v>41</v>
      </c>
      <c r="B4" s="14"/>
      <c r="C4" s="14"/>
      <c r="D4" s="14"/>
      <c r="E4" s="15" t="n">
        <f aca="false">E31+E58</f>
        <v>0</v>
      </c>
      <c r="F4" s="15"/>
      <c r="G4" s="15"/>
      <c r="H4" s="15"/>
      <c r="I4" s="15"/>
      <c r="J4" s="15"/>
      <c r="K4" s="15" t="n">
        <f aca="false">K31+K58</f>
        <v>0</v>
      </c>
      <c r="L4" s="15"/>
      <c r="M4" s="15" t="n">
        <f aca="false">M31+M58</f>
        <v>0</v>
      </c>
      <c r="N4" s="15"/>
      <c r="O4" s="15" t="n">
        <f aca="false">O31+O58</f>
        <v>0</v>
      </c>
      <c r="P4" s="15"/>
      <c r="Q4" s="15" t="n">
        <f aca="false">Q31+Q58</f>
        <v>0</v>
      </c>
      <c r="R4" s="15"/>
      <c r="S4" s="15"/>
      <c r="T4" s="15" t="n">
        <f aca="false">T31+T58</f>
        <v>0</v>
      </c>
      <c r="U4" s="15"/>
      <c r="V4" s="15"/>
      <c r="W4" s="16" t="n">
        <v>0</v>
      </c>
      <c r="X4" s="15" t="n">
        <f aca="false">X31+X58</f>
        <v>0</v>
      </c>
      <c r="Y4" s="15" t="n">
        <f aca="false">Y31+Y58</f>
        <v>0</v>
      </c>
      <c r="Z4" s="12"/>
    </row>
    <row r="5" customFormat="false" ht="15" hidden="false" customHeight="true" outlineLevel="0" collapsed="false">
      <c r="A5" s="17" t="s">
        <v>42</v>
      </c>
      <c r="B5" s="18" t="n">
        <v>8100</v>
      </c>
      <c r="C5" s="18" t="s">
        <v>43</v>
      </c>
      <c r="D5" s="18" t="s">
        <v>44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20"/>
      <c r="X5" s="19"/>
      <c r="Y5" s="19"/>
      <c r="Z5" s="12"/>
    </row>
    <row r="6" customFormat="false" ht="18.75" hidden="false" customHeight="true" outlineLevel="0" collapsed="false">
      <c r="A6" s="18"/>
      <c r="B6" s="18"/>
      <c r="C6" s="18"/>
      <c r="D6" s="18" t="s">
        <v>45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20"/>
      <c r="X6" s="19"/>
      <c r="Y6" s="19"/>
      <c r="Z6" s="12"/>
    </row>
    <row r="7" customFormat="false" ht="18.75" hidden="false" customHeight="true" outlineLevel="0" collapsed="false">
      <c r="A7" s="18"/>
      <c r="B7" s="18"/>
      <c r="C7" s="18"/>
      <c r="D7" s="18" t="s">
        <v>46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  <c r="X7" s="19"/>
      <c r="Y7" s="19"/>
      <c r="Z7" s="12"/>
    </row>
    <row r="8" customFormat="false" ht="18.75" hidden="false" customHeight="true" outlineLevel="0" collapsed="false">
      <c r="A8" s="18"/>
      <c r="B8" s="18"/>
      <c r="C8" s="18"/>
      <c r="D8" s="18" t="s">
        <v>47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19"/>
      <c r="Y8" s="19"/>
      <c r="Z8" s="12"/>
    </row>
    <row r="9" customFormat="false" ht="18.75" hidden="false" customHeight="true" outlineLevel="0" collapsed="false">
      <c r="A9" s="18"/>
      <c r="B9" s="18"/>
      <c r="C9" s="18"/>
      <c r="D9" s="18" t="s">
        <v>48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19"/>
      <c r="Y9" s="19"/>
      <c r="Z9" s="12"/>
    </row>
    <row r="10" customFormat="false" ht="18.75" hidden="false" customHeight="true" outlineLevel="0" collapsed="false">
      <c r="A10" s="18"/>
      <c r="B10" s="18"/>
      <c r="C10" s="18"/>
      <c r="D10" s="18" t="s">
        <v>49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19"/>
      <c r="Y10" s="19"/>
      <c r="Z10" s="12"/>
    </row>
    <row r="11" customFormat="false" ht="18.75" hidden="false" customHeight="true" outlineLevel="0" collapsed="false">
      <c r="A11" s="18"/>
      <c r="B11" s="18"/>
      <c r="C11" s="18"/>
      <c r="D11" s="18" t="s">
        <v>50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19"/>
      <c r="Y11" s="19"/>
      <c r="Z11" s="12"/>
    </row>
    <row r="12" customFormat="false" ht="18.75" hidden="false" customHeight="true" outlineLevel="0" collapsed="false">
      <c r="A12" s="18"/>
      <c r="B12" s="18"/>
      <c r="C12" s="18"/>
      <c r="D12" s="18" t="s">
        <v>51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0"/>
      <c r="X12" s="19"/>
      <c r="Y12" s="19"/>
      <c r="Z12" s="12"/>
    </row>
    <row r="13" customFormat="false" ht="18.75" hidden="false" customHeight="true" outlineLevel="0" collapsed="false">
      <c r="A13" s="18"/>
      <c r="B13" s="18"/>
      <c r="C13" s="18"/>
      <c r="D13" s="18" t="s">
        <v>52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0"/>
      <c r="X13" s="19"/>
      <c r="Y13" s="19"/>
      <c r="Z13" s="12"/>
    </row>
    <row r="14" customFormat="false" ht="18.75" hidden="false" customHeight="true" outlineLevel="0" collapsed="false">
      <c r="A14" s="18"/>
      <c r="B14" s="18"/>
      <c r="C14" s="18"/>
      <c r="D14" s="18" t="s">
        <v>53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20"/>
      <c r="X14" s="19"/>
      <c r="Y14" s="19"/>
      <c r="Z14" s="12"/>
    </row>
    <row r="15" customFormat="false" ht="18.75" hidden="false" customHeight="true" outlineLevel="0" collapsed="false">
      <c r="A15" s="18"/>
      <c r="B15" s="18"/>
      <c r="C15" s="18"/>
      <c r="D15" s="18" t="s">
        <v>54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20"/>
      <c r="X15" s="19"/>
      <c r="Y15" s="19"/>
      <c r="Z15" s="12"/>
    </row>
    <row r="16" customFormat="false" ht="18.75" hidden="false" customHeight="true" outlineLevel="0" collapsed="false">
      <c r="A16" s="18"/>
      <c r="B16" s="18"/>
      <c r="C16" s="18"/>
      <c r="D16" s="18" t="s">
        <v>55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20"/>
      <c r="X16" s="19"/>
      <c r="Y16" s="19"/>
      <c r="Z16" s="12"/>
    </row>
    <row r="17" customFormat="false" ht="18.75" hidden="false" customHeight="true" outlineLevel="0" collapsed="false">
      <c r="A17" s="18"/>
      <c r="B17" s="18"/>
      <c r="C17" s="18"/>
      <c r="D17" s="18" t="s">
        <v>56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20"/>
      <c r="X17" s="19"/>
      <c r="Y17" s="19"/>
      <c r="Z17" s="12"/>
    </row>
    <row r="18" customFormat="false" ht="15" hidden="false" customHeight="true" outlineLevel="0" collapsed="false">
      <c r="A18" s="17" t="s">
        <v>42</v>
      </c>
      <c r="B18" s="18" t="n">
        <v>8200</v>
      </c>
      <c r="C18" s="18" t="s">
        <v>57</v>
      </c>
      <c r="D18" s="17" t="s">
        <v>58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0"/>
      <c r="X18" s="19"/>
      <c r="Y18" s="19"/>
      <c r="Z18" s="12"/>
    </row>
    <row r="19" customFormat="false" ht="18.75" hidden="false" customHeight="true" outlineLevel="0" collapsed="false">
      <c r="A19" s="18"/>
      <c r="B19" s="18"/>
      <c r="C19" s="18"/>
      <c r="D19" s="18" t="s">
        <v>45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20"/>
      <c r="X19" s="19"/>
      <c r="Y19" s="19"/>
      <c r="Z19" s="12"/>
    </row>
    <row r="20" customFormat="false" ht="18.75" hidden="false" customHeight="true" outlineLevel="0" collapsed="false">
      <c r="A20" s="18"/>
      <c r="B20" s="18"/>
      <c r="C20" s="18"/>
      <c r="D20" s="18" t="s">
        <v>46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20"/>
      <c r="X20" s="19"/>
      <c r="Y20" s="19"/>
      <c r="Z20" s="12"/>
    </row>
    <row r="21" customFormat="false" ht="18.75" hidden="false" customHeight="true" outlineLevel="0" collapsed="false">
      <c r="A21" s="18"/>
      <c r="B21" s="18"/>
      <c r="C21" s="18"/>
      <c r="D21" s="18" t="s">
        <v>47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20"/>
      <c r="X21" s="19"/>
      <c r="Y21" s="19"/>
      <c r="Z21" s="12"/>
    </row>
    <row r="22" customFormat="false" ht="18.75" hidden="false" customHeight="true" outlineLevel="0" collapsed="false">
      <c r="A22" s="18"/>
      <c r="B22" s="18"/>
      <c r="C22" s="18"/>
      <c r="D22" s="18" t="s">
        <v>48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20"/>
      <c r="X22" s="19"/>
      <c r="Y22" s="19"/>
      <c r="Z22" s="12"/>
    </row>
    <row r="23" customFormat="false" ht="18.75" hidden="false" customHeight="true" outlineLevel="0" collapsed="false">
      <c r="A23" s="18"/>
      <c r="B23" s="18"/>
      <c r="C23" s="18"/>
      <c r="D23" s="18" t="s">
        <v>49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20"/>
      <c r="X23" s="19"/>
      <c r="Y23" s="19"/>
      <c r="Z23" s="12"/>
    </row>
    <row r="24" customFormat="false" ht="18.75" hidden="false" customHeight="true" outlineLevel="0" collapsed="false">
      <c r="A24" s="18"/>
      <c r="B24" s="18"/>
      <c r="C24" s="18"/>
      <c r="D24" s="18" t="s">
        <v>50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  <c r="X24" s="19"/>
      <c r="Y24" s="19"/>
      <c r="Z24" s="12"/>
    </row>
    <row r="25" customFormat="false" ht="18.75" hidden="false" customHeight="true" outlineLevel="0" collapsed="false">
      <c r="A25" s="18"/>
      <c r="B25" s="18"/>
      <c r="C25" s="18"/>
      <c r="D25" s="18" t="s">
        <v>51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20"/>
      <c r="X25" s="19"/>
      <c r="Y25" s="19"/>
      <c r="Z25" s="12"/>
    </row>
    <row r="26" customFormat="false" ht="18.75" hidden="false" customHeight="true" outlineLevel="0" collapsed="false">
      <c r="A26" s="18"/>
      <c r="B26" s="18"/>
      <c r="C26" s="18"/>
      <c r="D26" s="18" t="s">
        <v>52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/>
      <c r="X26" s="19"/>
      <c r="Y26" s="19"/>
      <c r="Z26" s="12"/>
    </row>
    <row r="27" customFormat="false" ht="18.75" hidden="false" customHeight="true" outlineLevel="0" collapsed="false">
      <c r="A27" s="18"/>
      <c r="B27" s="18"/>
      <c r="C27" s="18"/>
      <c r="D27" s="18" t="s">
        <v>53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/>
      <c r="X27" s="19"/>
      <c r="Y27" s="19"/>
      <c r="Z27" s="12"/>
    </row>
    <row r="28" customFormat="false" ht="18.75" hidden="false" customHeight="true" outlineLevel="0" collapsed="false">
      <c r="A28" s="18"/>
      <c r="B28" s="18"/>
      <c r="C28" s="18"/>
      <c r="D28" s="18" t="s">
        <v>54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20"/>
      <c r="X28" s="19"/>
      <c r="Y28" s="19"/>
      <c r="Z28" s="12"/>
    </row>
    <row r="29" customFormat="false" ht="18.75" hidden="false" customHeight="true" outlineLevel="0" collapsed="false">
      <c r="A29" s="18"/>
      <c r="B29" s="18"/>
      <c r="C29" s="18"/>
      <c r="D29" s="18" t="s">
        <v>55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0"/>
      <c r="X29" s="19"/>
      <c r="Y29" s="19"/>
      <c r="Z29" s="12"/>
    </row>
    <row r="30" customFormat="false" ht="18.75" hidden="false" customHeight="true" outlineLevel="0" collapsed="false">
      <c r="A30" s="18"/>
      <c r="B30" s="18"/>
      <c r="C30" s="18"/>
      <c r="D30" s="18" t="s">
        <v>56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0"/>
      <c r="X30" s="19"/>
      <c r="Y30" s="19"/>
      <c r="Z30" s="12"/>
    </row>
    <row r="31" customFormat="false" ht="15" hidden="false" customHeight="true" outlineLevel="0" collapsed="false">
      <c r="A31" s="21" t="s">
        <v>59</v>
      </c>
      <c r="B31" s="21"/>
      <c r="C31" s="21"/>
      <c r="D31" s="21"/>
      <c r="E31" s="22" t="n">
        <f aca="false">SUM(E5:E18)</f>
        <v>0</v>
      </c>
      <c r="F31" s="22"/>
      <c r="G31" s="22"/>
      <c r="H31" s="22"/>
      <c r="I31" s="22"/>
      <c r="J31" s="22"/>
      <c r="K31" s="22" t="n">
        <f aca="false">SUM(K5:K18)</f>
        <v>0</v>
      </c>
      <c r="L31" s="22"/>
      <c r="M31" s="22" t="n">
        <f aca="false">SUM(M5:M18)</f>
        <v>0</v>
      </c>
      <c r="N31" s="22"/>
      <c r="O31" s="22" t="n">
        <f aca="false">SUM(O5:O18)</f>
        <v>0</v>
      </c>
      <c r="P31" s="22"/>
      <c r="Q31" s="22" t="n">
        <f aca="false">SUM(Q5:Q18)</f>
        <v>0</v>
      </c>
      <c r="R31" s="22"/>
      <c r="S31" s="22"/>
      <c r="T31" s="22" t="n">
        <f aca="false">SUM(T5:T18)</f>
        <v>0</v>
      </c>
      <c r="U31" s="22"/>
      <c r="V31" s="22"/>
      <c r="W31" s="23" t="n">
        <f aca="false">SUM(W5:W18)</f>
        <v>0</v>
      </c>
      <c r="X31" s="22" t="n">
        <f aca="false">SUM(X5:X18)</f>
        <v>0</v>
      </c>
      <c r="Y31" s="22" t="n">
        <f aca="false">SUM(Y5:Y18)</f>
        <v>0</v>
      </c>
      <c r="Z31" s="12"/>
    </row>
    <row r="32" customFormat="false" ht="15" hidden="false" customHeight="true" outlineLevel="0" collapsed="false">
      <c r="A32" s="17" t="s">
        <v>60</v>
      </c>
      <c r="B32" s="18" t="n">
        <v>2000</v>
      </c>
      <c r="C32" s="18" t="s">
        <v>61</v>
      </c>
      <c r="D32" s="18" t="s">
        <v>62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  <c r="X32" s="19"/>
      <c r="Y32" s="19"/>
      <c r="Z32" s="12"/>
    </row>
    <row r="33" customFormat="false" ht="18.75" hidden="false" customHeight="true" outlineLevel="0" collapsed="false">
      <c r="A33" s="18"/>
      <c r="B33" s="18"/>
      <c r="C33" s="18"/>
      <c r="D33" s="18" t="s">
        <v>45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  <c r="X33" s="19"/>
      <c r="Y33" s="19"/>
      <c r="Z33" s="12"/>
    </row>
    <row r="34" customFormat="false" ht="18.75" hidden="false" customHeight="true" outlineLevel="0" collapsed="false">
      <c r="A34" s="18"/>
      <c r="B34" s="18"/>
      <c r="C34" s="18"/>
      <c r="D34" s="18" t="s">
        <v>46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19"/>
      <c r="Y34" s="19"/>
      <c r="Z34" s="12"/>
    </row>
    <row r="35" customFormat="false" ht="18.75" hidden="false" customHeight="true" outlineLevel="0" collapsed="false">
      <c r="A35" s="18"/>
      <c r="B35" s="18"/>
      <c r="C35" s="18"/>
      <c r="D35" s="18" t="s">
        <v>47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19"/>
      <c r="Y35" s="19"/>
      <c r="Z35" s="12"/>
    </row>
    <row r="36" customFormat="false" ht="18.75" hidden="false" customHeight="true" outlineLevel="0" collapsed="false">
      <c r="A36" s="18"/>
      <c r="B36" s="18"/>
      <c r="C36" s="18"/>
      <c r="D36" s="18" t="s">
        <v>48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0"/>
      <c r="X36" s="19"/>
      <c r="Y36" s="19"/>
      <c r="Z36" s="12"/>
    </row>
    <row r="37" customFormat="false" ht="18.75" hidden="false" customHeight="true" outlineLevel="0" collapsed="false">
      <c r="A37" s="18"/>
      <c r="B37" s="18"/>
      <c r="C37" s="18"/>
      <c r="D37" s="18" t="s">
        <v>49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/>
      <c r="X37" s="19"/>
      <c r="Y37" s="19"/>
      <c r="Z37" s="12"/>
    </row>
    <row r="38" customFormat="false" ht="18.75" hidden="false" customHeight="true" outlineLevel="0" collapsed="false">
      <c r="A38" s="18"/>
      <c r="B38" s="18"/>
      <c r="C38" s="18"/>
      <c r="D38" s="18" t="s">
        <v>50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0"/>
      <c r="X38" s="19"/>
      <c r="Y38" s="19"/>
      <c r="Z38" s="12"/>
    </row>
    <row r="39" customFormat="false" ht="18.75" hidden="false" customHeight="true" outlineLevel="0" collapsed="false">
      <c r="A39" s="18"/>
      <c r="B39" s="18"/>
      <c r="C39" s="18"/>
      <c r="D39" s="18" t="s">
        <v>51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/>
      <c r="X39" s="19"/>
      <c r="Y39" s="19"/>
      <c r="Z39" s="12"/>
    </row>
    <row r="40" customFormat="false" ht="18.75" hidden="false" customHeight="true" outlineLevel="0" collapsed="false">
      <c r="A40" s="18"/>
      <c r="B40" s="18"/>
      <c r="C40" s="18"/>
      <c r="D40" s="18" t="s">
        <v>52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20"/>
      <c r="X40" s="19"/>
      <c r="Y40" s="19"/>
      <c r="Z40" s="12"/>
    </row>
    <row r="41" customFormat="false" ht="18.75" hidden="false" customHeight="true" outlineLevel="0" collapsed="false">
      <c r="A41" s="18"/>
      <c r="B41" s="18"/>
      <c r="C41" s="18"/>
      <c r="D41" s="18" t="s">
        <v>53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20"/>
      <c r="X41" s="19"/>
      <c r="Y41" s="19"/>
      <c r="Z41" s="12"/>
    </row>
    <row r="42" customFormat="false" ht="18.75" hidden="false" customHeight="true" outlineLevel="0" collapsed="false">
      <c r="A42" s="18"/>
      <c r="B42" s="18"/>
      <c r="C42" s="18"/>
      <c r="D42" s="18" t="s">
        <v>54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20"/>
      <c r="X42" s="19"/>
      <c r="Y42" s="19"/>
      <c r="Z42" s="12"/>
    </row>
    <row r="43" customFormat="false" ht="18.75" hidden="false" customHeight="true" outlineLevel="0" collapsed="false">
      <c r="A43" s="18"/>
      <c r="B43" s="18"/>
      <c r="C43" s="18"/>
      <c r="D43" s="18" t="s">
        <v>55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  <c r="X43" s="19"/>
      <c r="Y43" s="19"/>
      <c r="Z43" s="12"/>
    </row>
    <row r="44" customFormat="false" ht="18.75" hidden="false" customHeight="true" outlineLevel="0" collapsed="false">
      <c r="A44" s="18"/>
      <c r="B44" s="18"/>
      <c r="C44" s="18"/>
      <c r="D44" s="18" t="s">
        <v>56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20"/>
      <c r="X44" s="19"/>
      <c r="Y44" s="19"/>
      <c r="Z44" s="12"/>
    </row>
    <row r="45" customFormat="false" ht="18.75" hidden="false" customHeight="true" outlineLevel="0" collapsed="false">
      <c r="A45" s="17" t="s">
        <v>60</v>
      </c>
      <c r="B45" s="18" t="n">
        <v>2200</v>
      </c>
      <c r="C45" s="18" t="s">
        <v>63</v>
      </c>
      <c r="D45" s="18" t="s">
        <v>64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20"/>
      <c r="X45" s="19"/>
      <c r="Y45" s="19"/>
      <c r="Z45" s="12"/>
    </row>
    <row r="46" customFormat="false" ht="18.75" hidden="false" customHeight="true" outlineLevel="0" collapsed="false">
      <c r="A46" s="18"/>
      <c r="B46" s="18"/>
      <c r="C46" s="18"/>
      <c r="D46" s="18" t="s">
        <v>45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20"/>
      <c r="X46" s="19"/>
      <c r="Y46" s="19"/>
      <c r="Z46" s="12"/>
    </row>
    <row r="47" customFormat="false" ht="18.75" hidden="false" customHeight="true" outlineLevel="0" collapsed="false">
      <c r="A47" s="18"/>
      <c r="B47" s="18"/>
      <c r="C47" s="18"/>
      <c r="D47" s="18" t="s">
        <v>46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20"/>
      <c r="X47" s="19"/>
      <c r="Y47" s="19"/>
      <c r="Z47" s="12"/>
    </row>
    <row r="48" customFormat="false" ht="18.75" hidden="false" customHeight="true" outlineLevel="0" collapsed="false">
      <c r="A48" s="18"/>
      <c r="B48" s="18"/>
      <c r="C48" s="18"/>
      <c r="D48" s="18" t="s">
        <v>47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X48" s="19"/>
      <c r="Y48" s="19"/>
      <c r="Z48" s="12"/>
    </row>
    <row r="49" customFormat="false" ht="18.75" hidden="false" customHeight="true" outlineLevel="0" collapsed="false">
      <c r="A49" s="18"/>
      <c r="B49" s="18"/>
      <c r="C49" s="18"/>
      <c r="D49" s="18" t="s">
        <v>48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20"/>
      <c r="X49" s="19"/>
      <c r="Y49" s="19"/>
      <c r="Z49" s="12"/>
    </row>
    <row r="50" customFormat="false" ht="18.75" hidden="false" customHeight="true" outlineLevel="0" collapsed="false">
      <c r="A50" s="18"/>
      <c r="B50" s="18"/>
      <c r="C50" s="18"/>
      <c r="D50" s="18" t="s">
        <v>49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20"/>
      <c r="X50" s="19"/>
      <c r="Y50" s="19"/>
      <c r="Z50" s="12"/>
    </row>
    <row r="51" customFormat="false" ht="18.75" hidden="false" customHeight="true" outlineLevel="0" collapsed="false">
      <c r="A51" s="18"/>
      <c r="B51" s="18"/>
      <c r="C51" s="18"/>
      <c r="D51" s="18" t="s">
        <v>50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20"/>
      <c r="X51" s="19"/>
      <c r="Y51" s="19"/>
      <c r="Z51" s="12"/>
    </row>
    <row r="52" customFormat="false" ht="18.75" hidden="false" customHeight="true" outlineLevel="0" collapsed="false">
      <c r="A52" s="18"/>
      <c r="B52" s="18"/>
      <c r="C52" s="18"/>
      <c r="D52" s="18" t="s">
        <v>51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20"/>
      <c r="X52" s="19"/>
      <c r="Y52" s="19"/>
      <c r="Z52" s="12"/>
    </row>
    <row r="53" customFormat="false" ht="18.75" hidden="false" customHeight="true" outlineLevel="0" collapsed="false">
      <c r="A53" s="18"/>
      <c r="B53" s="18"/>
      <c r="C53" s="18"/>
      <c r="D53" s="18" t="s">
        <v>52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20"/>
      <c r="X53" s="19"/>
      <c r="Y53" s="19"/>
      <c r="Z53" s="12"/>
    </row>
    <row r="54" customFormat="false" ht="18.75" hidden="false" customHeight="true" outlineLevel="0" collapsed="false">
      <c r="A54" s="18"/>
      <c r="B54" s="18"/>
      <c r="C54" s="18"/>
      <c r="D54" s="18" t="s">
        <v>53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20"/>
      <c r="X54" s="19"/>
      <c r="Y54" s="19"/>
      <c r="Z54" s="12"/>
    </row>
    <row r="55" customFormat="false" ht="18.75" hidden="false" customHeight="true" outlineLevel="0" collapsed="false">
      <c r="A55" s="18"/>
      <c r="B55" s="18"/>
      <c r="C55" s="18"/>
      <c r="D55" s="18" t="s">
        <v>54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20"/>
      <c r="X55" s="19"/>
      <c r="Y55" s="19"/>
      <c r="Z55" s="12"/>
    </row>
    <row r="56" customFormat="false" ht="18.75" hidden="false" customHeight="true" outlineLevel="0" collapsed="false">
      <c r="A56" s="18"/>
      <c r="B56" s="18"/>
      <c r="C56" s="18"/>
      <c r="D56" s="18" t="s">
        <v>55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20"/>
      <c r="X56" s="19"/>
      <c r="Y56" s="19"/>
      <c r="Z56" s="12"/>
    </row>
    <row r="57" customFormat="false" ht="18.75" hidden="false" customHeight="true" outlineLevel="0" collapsed="false">
      <c r="A57" s="18"/>
      <c r="B57" s="18"/>
      <c r="C57" s="18"/>
      <c r="D57" s="18" t="s">
        <v>56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20"/>
      <c r="X57" s="19"/>
      <c r="Y57" s="19"/>
      <c r="Z57" s="12"/>
    </row>
    <row r="58" customFormat="false" ht="15" hidden="false" customHeight="true" outlineLevel="0" collapsed="false">
      <c r="A58" s="21" t="s">
        <v>65</v>
      </c>
      <c r="B58" s="21"/>
      <c r="C58" s="21"/>
      <c r="D58" s="21"/>
      <c r="E58" s="22" t="n">
        <f aca="false">SUM(E32:E45)</f>
        <v>0</v>
      </c>
      <c r="F58" s="22"/>
      <c r="G58" s="22"/>
      <c r="H58" s="22"/>
      <c r="I58" s="22"/>
      <c r="J58" s="22"/>
      <c r="K58" s="22" t="n">
        <f aca="false">SUM(K32:K45)</f>
        <v>0</v>
      </c>
      <c r="L58" s="22"/>
      <c r="M58" s="22" t="n">
        <f aca="false">SUM(M32:M45)</f>
        <v>0</v>
      </c>
      <c r="N58" s="22"/>
      <c r="O58" s="22" t="n">
        <f aca="false">SUM(O32:O45)</f>
        <v>0</v>
      </c>
      <c r="P58" s="22"/>
      <c r="Q58" s="22" t="n">
        <f aca="false">SUM(Q32:Q45)</f>
        <v>0</v>
      </c>
      <c r="R58" s="22"/>
      <c r="S58" s="22"/>
      <c r="T58" s="22" t="n">
        <f aca="false">SUM(T32:T45)</f>
        <v>0</v>
      </c>
      <c r="U58" s="22"/>
      <c r="V58" s="22"/>
      <c r="W58" s="23" t="n">
        <f aca="false">SUM(W32:W45)</f>
        <v>0</v>
      </c>
      <c r="X58" s="22" t="n">
        <f aca="false">SUM(X32:X45)</f>
        <v>0</v>
      </c>
      <c r="Y58" s="22" t="n">
        <f aca="false">SUM(Y32:Y45)</f>
        <v>0</v>
      </c>
      <c r="Z58" s="12"/>
    </row>
    <row r="59" customFormat="false" ht="15" hidden="false" customHeight="true" outlineLevel="0" collapsed="false">
      <c r="A59" s="17" t="s">
        <v>66</v>
      </c>
      <c r="B59" s="18" t="s">
        <v>67</v>
      </c>
      <c r="C59" s="18" t="n">
        <v>0</v>
      </c>
      <c r="D59" s="18" t="s">
        <v>68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3"/>
      <c r="X59" s="22"/>
      <c r="Y59" s="22"/>
      <c r="Z59" s="12"/>
    </row>
    <row r="60" customFormat="false" ht="18.75" hidden="false" customHeight="true" outlineLevel="0" collapsed="false">
      <c r="A60" s="18"/>
      <c r="B60" s="18"/>
      <c r="C60" s="18"/>
      <c r="D60" s="18" t="s">
        <v>45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20"/>
      <c r="X60" s="19"/>
      <c r="Y60" s="19"/>
      <c r="Z60" s="12"/>
    </row>
    <row r="61" customFormat="false" ht="18.75" hidden="false" customHeight="true" outlineLevel="0" collapsed="false">
      <c r="A61" s="18"/>
      <c r="B61" s="18"/>
      <c r="C61" s="18"/>
      <c r="D61" s="18" t="s">
        <v>46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20"/>
      <c r="X61" s="19"/>
      <c r="Y61" s="19"/>
      <c r="Z61" s="12"/>
    </row>
    <row r="62" customFormat="false" ht="18.75" hidden="false" customHeight="true" outlineLevel="0" collapsed="false">
      <c r="A62" s="18"/>
      <c r="B62" s="18"/>
      <c r="C62" s="18"/>
      <c r="D62" s="18" t="s">
        <v>47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20"/>
      <c r="X62" s="19"/>
      <c r="Y62" s="19"/>
      <c r="Z62" s="12"/>
    </row>
    <row r="63" customFormat="false" ht="18.75" hidden="false" customHeight="true" outlineLevel="0" collapsed="false">
      <c r="A63" s="18"/>
      <c r="B63" s="18"/>
      <c r="C63" s="18"/>
      <c r="D63" s="18" t="s">
        <v>48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20"/>
      <c r="X63" s="19"/>
      <c r="Y63" s="19"/>
      <c r="Z63" s="12"/>
    </row>
    <row r="64" customFormat="false" ht="18.75" hidden="false" customHeight="true" outlineLevel="0" collapsed="false">
      <c r="A64" s="18"/>
      <c r="B64" s="18"/>
      <c r="C64" s="18"/>
      <c r="D64" s="18" t="s">
        <v>49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20"/>
      <c r="X64" s="19"/>
      <c r="Y64" s="19"/>
      <c r="Z64" s="12"/>
    </row>
    <row r="65" customFormat="false" ht="18.75" hidden="false" customHeight="true" outlineLevel="0" collapsed="false">
      <c r="A65" s="18"/>
      <c r="B65" s="18"/>
      <c r="C65" s="18"/>
      <c r="D65" s="18" t="s">
        <v>50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20"/>
      <c r="X65" s="19"/>
      <c r="Y65" s="19"/>
      <c r="Z65" s="12"/>
    </row>
    <row r="66" customFormat="false" ht="18.75" hidden="false" customHeight="true" outlineLevel="0" collapsed="false">
      <c r="A66" s="18"/>
      <c r="B66" s="18"/>
      <c r="C66" s="18"/>
      <c r="D66" s="18" t="s">
        <v>51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20"/>
      <c r="X66" s="19"/>
      <c r="Y66" s="19"/>
      <c r="Z66" s="12"/>
    </row>
    <row r="67" customFormat="false" ht="18.75" hidden="false" customHeight="true" outlineLevel="0" collapsed="false">
      <c r="A67" s="18"/>
      <c r="B67" s="18"/>
      <c r="C67" s="18"/>
      <c r="D67" s="18" t="s">
        <v>52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20"/>
      <c r="X67" s="19"/>
      <c r="Y67" s="19"/>
      <c r="Z67" s="12"/>
    </row>
    <row r="68" customFormat="false" ht="18.75" hidden="false" customHeight="true" outlineLevel="0" collapsed="false">
      <c r="A68" s="18"/>
      <c r="B68" s="18"/>
      <c r="C68" s="18"/>
      <c r="D68" s="18" t="s">
        <v>53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20"/>
      <c r="X68" s="19"/>
      <c r="Y68" s="19"/>
      <c r="Z68" s="12"/>
    </row>
    <row r="69" customFormat="false" ht="18.75" hidden="false" customHeight="true" outlineLevel="0" collapsed="false">
      <c r="A69" s="18"/>
      <c r="B69" s="18"/>
      <c r="C69" s="18"/>
      <c r="D69" s="18" t="s">
        <v>54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20"/>
      <c r="X69" s="19"/>
      <c r="Y69" s="19"/>
      <c r="Z69" s="12"/>
    </row>
    <row r="70" customFormat="false" ht="18.75" hidden="false" customHeight="true" outlineLevel="0" collapsed="false">
      <c r="A70" s="18"/>
      <c r="B70" s="18"/>
      <c r="C70" s="18"/>
      <c r="D70" s="18" t="s">
        <v>55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20"/>
      <c r="X70" s="19"/>
      <c r="Y70" s="19"/>
      <c r="Z70" s="12"/>
    </row>
    <row r="71" customFormat="false" ht="18.75" hidden="false" customHeight="true" outlineLevel="0" collapsed="false">
      <c r="A71" s="18"/>
      <c r="B71" s="18"/>
      <c r="C71" s="18"/>
      <c r="D71" s="18" t="s">
        <v>56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20"/>
      <c r="X71" s="19"/>
      <c r="Y71" s="19"/>
      <c r="Z71" s="12"/>
    </row>
    <row r="72" customFormat="false" ht="15" hidden="false" customHeight="true" outlineLevel="0" collapsed="false">
      <c r="A72" s="17" t="s">
        <v>66</v>
      </c>
      <c r="B72" s="18" t="s">
        <v>69</v>
      </c>
      <c r="C72" s="18" t="n">
        <v>0</v>
      </c>
      <c r="D72" s="18" t="s">
        <v>68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3"/>
      <c r="X72" s="22"/>
      <c r="Y72" s="22"/>
      <c r="Z72" s="12"/>
    </row>
    <row r="73" customFormat="false" ht="18.75" hidden="false" customHeight="true" outlineLevel="0" collapsed="false">
      <c r="A73" s="18"/>
      <c r="B73" s="18"/>
      <c r="C73" s="18"/>
      <c r="D73" s="18" t="s">
        <v>45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20"/>
      <c r="X73" s="19"/>
      <c r="Y73" s="19"/>
      <c r="Z73" s="12"/>
    </row>
    <row r="74" customFormat="false" ht="18.75" hidden="false" customHeight="true" outlineLevel="0" collapsed="false">
      <c r="A74" s="18"/>
      <c r="B74" s="18"/>
      <c r="C74" s="18"/>
      <c r="D74" s="18" t="s">
        <v>46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20"/>
      <c r="X74" s="19"/>
      <c r="Y74" s="19"/>
      <c r="Z74" s="12"/>
    </row>
    <row r="75" customFormat="false" ht="18.75" hidden="false" customHeight="true" outlineLevel="0" collapsed="false">
      <c r="A75" s="18"/>
      <c r="B75" s="18"/>
      <c r="C75" s="18"/>
      <c r="D75" s="18" t="s">
        <v>47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0"/>
      <c r="X75" s="19"/>
      <c r="Y75" s="19"/>
      <c r="Z75" s="12"/>
    </row>
    <row r="76" customFormat="false" ht="18.75" hidden="false" customHeight="true" outlineLevel="0" collapsed="false">
      <c r="A76" s="18"/>
      <c r="B76" s="18"/>
      <c r="C76" s="18"/>
      <c r="D76" s="18" t="s">
        <v>48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20"/>
      <c r="X76" s="19"/>
      <c r="Y76" s="19"/>
      <c r="Z76" s="12"/>
    </row>
    <row r="77" customFormat="false" ht="18.75" hidden="false" customHeight="true" outlineLevel="0" collapsed="false">
      <c r="A77" s="18"/>
      <c r="B77" s="18"/>
      <c r="C77" s="18"/>
      <c r="D77" s="18" t="s">
        <v>49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20"/>
      <c r="X77" s="19"/>
      <c r="Y77" s="19"/>
      <c r="Z77" s="12"/>
    </row>
    <row r="78" customFormat="false" ht="18.75" hidden="false" customHeight="true" outlineLevel="0" collapsed="false">
      <c r="A78" s="18"/>
      <c r="B78" s="18"/>
      <c r="C78" s="18"/>
      <c r="D78" s="18" t="s">
        <v>50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20"/>
      <c r="X78" s="19"/>
      <c r="Y78" s="19"/>
      <c r="Z78" s="12"/>
    </row>
    <row r="79" customFormat="false" ht="18.75" hidden="false" customHeight="true" outlineLevel="0" collapsed="false">
      <c r="A79" s="18"/>
      <c r="B79" s="18"/>
      <c r="C79" s="18"/>
      <c r="D79" s="18" t="s">
        <v>51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20"/>
      <c r="X79" s="19"/>
      <c r="Y79" s="19"/>
      <c r="Z79" s="12"/>
    </row>
    <row r="80" customFormat="false" ht="18.75" hidden="false" customHeight="true" outlineLevel="0" collapsed="false">
      <c r="A80" s="18"/>
      <c r="B80" s="18"/>
      <c r="C80" s="18"/>
      <c r="D80" s="18" t="s">
        <v>52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20"/>
      <c r="X80" s="19"/>
      <c r="Y80" s="19"/>
      <c r="Z80" s="12"/>
    </row>
    <row r="81" customFormat="false" ht="18.75" hidden="false" customHeight="true" outlineLevel="0" collapsed="false">
      <c r="A81" s="18"/>
      <c r="B81" s="18"/>
      <c r="C81" s="18"/>
      <c r="D81" s="18" t="s">
        <v>53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20"/>
      <c r="X81" s="19"/>
      <c r="Y81" s="19"/>
      <c r="Z81" s="12"/>
    </row>
    <row r="82" customFormat="false" ht="18.75" hidden="false" customHeight="true" outlineLevel="0" collapsed="false">
      <c r="A82" s="18"/>
      <c r="B82" s="18"/>
      <c r="C82" s="18"/>
      <c r="D82" s="18" t="s">
        <v>54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20"/>
      <c r="X82" s="19"/>
      <c r="Y82" s="19"/>
      <c r="Z82" s="12"/>
    </row>
    <row r="83" customFormat="false" ht="18.75" hidden="false" customHeight="true" outlineLevel="0" collapsed="false">
      <c r="A83" s="18"/>
      <c r="B83" s="18"/>
      <c r="C83" s="18"/>
      <c r="D83" s="18" t="s">
        <v>55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20"/>
      <c r="X83" s="19"/>
      <c r="Y83" s="19"/>
      <c r="Z83" s="12"/>
    </row>
    <row r="84" customFormat="false" ht="18.75" hidden="false" customHeight="true" outlineLevel="0" collapsed="false">
      <c r="A84" s="18"/>
      <c r="B84" s="18"/>
      <c r="C84" s="18"/>
      <c r="D84" s="18" t="s">
        <v>56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20"/>
      <c r="X84" s="19"/>
      <c r="Y84" s="19"/>
      <c r="Z84" s="12"/>
    </row>
    <row r="85" customFormat="false" ht="15" hidden="false" customHeight="true" outlineLevel="0" collapsed="false">
      <c r="A85" s="21" t="s">
        <v>70</v>
      </c>
      <c r="B85" s="21"/>
      <c r="C85" s="21"/>
      <c r="D85" s="21"/>
      <c r="E85" s="22" t="n">
        <f aca="false">SUM(E59:E72)</f>
        <v>0</v>
      </c>
      <c r="F85" s="22"/>
      <c r="G85" s="22"/>
      <c r="H85" s="22"/>
      <c r="I85" s="22"/>
      <c r="J85" s="22"/>
      <c r="K85" s="22" t="n">
        <f aca="false">SUM(K59:K72)</f>
        <v>0</v>
      </c>
      <c r="L85" s="22"/>
      <c r="M85" s="22" t="n">
        <f aca="false">SUM(M59:M72)</f>
        <v>0</v>
      </c>
      <c r="N85" s="22"/>
      <c r="O85" s="22" t="n">
        <f aca="false">SUM(O59:O72)</f>
        <v>0</v>
      </c>
      <c r="P85" s="22"/>
      <c r="Q85" s="22" t="n">
        <f aca="false">SUM(Q59:Q72)</f>
        <v>0</v>
      </c>
      <c r="R85" s="22"/>
      <c r="S85" s="22"/>
      <c r="T85" s="22" t="n">
        <f aca="false">SUM(T59:T72)</f>
        <v>0</v>
      </c>
      <c r="U85" s="22"/>
      <c r="V85" s="22"/>
      <c r="W85" s="23" t="n">
        <f aca="false">SUM(W59:W72)</f>
        <v>0</v>
      </c>
      <c r="X85" s="22" t="n">
        <f aca="false">SUM(X59:X72)</f>
        <v>0</v>
      </c>
      <c r="Y85" s="22" t="n">
        <f aca="false">SUM(Y59:Y72)</f>
        <v>0</v>
      </c>
      <c r="Z85" s="12"/>
    </row>
    <row r="86" customFormat="false" ht="15" hidden="false" customHeight="true" outlineLevel="0" collapsed="false">
      <c r="A86" s="21" t="s">
        <v>71</v>
      </c>
      <c r="B86" s="21" t="s">
        <v>44</v>
      </c>
      <c r="C86" s="21"/>
      <c r="D86" s="21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5"/>
      <c r="X86" s="24"/>
      <c r="Y86" s="24"/>
      <c r="Z86" s="12"/>
    </row>
    <row r="87" customFormat="false" ht="15" hidden="false" customHeight="true" outlineLevel="0" collapsed="false">
      <c r="A87" s="21"/>
      <c r="B87" s="21" t="s">
        <v>62</v>
      </c>
      <c r="C87" s="21"/>
      <c r="D87" s="21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5"/>
      <c r="X87" s="24"/>
      <c r="Y87" s="24"/>
      <c r="Z87" s="12"/>
    </row>
    <row r="88" customFormat="false" ht="16.5" hidden="false" customHeight="true" outlineLevel="0" collapsed="false">
      <c r="A88" s="21"/>
      <c r="B88" s="21" t="s">
        <v>72</v>
      </c>
      <c r="C88" s="21"/>
      <c r="D88" s="21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5"/>
      <c r="X88" s="24"/>
      <c r="Y88" s="24"/>
      <c r="Z88" s="12"/>
    </row>
    <row r="89" customFormat="false" ht="15" hidden="false" customHeight="true" outlineLevel="0" collapsed="false">
      <c r="A89" s="21"/>
      <c r="B89" s="21" t="s">
        <v>58</v>
      </c>
      <c r="C89" s="21"/>
      <c r="D89" s="21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5"/>
      <c r="X89" s="24"/>
      <c r="Y89" s="24"/>
      <c r="Z89" s="12"/>
    </row>
  </sheetData>
  <mergeCells count="27">
    <mergeCell ref="A2:A3"/>
    <mergeCell ref="B2:B3"/>
    <mergeCell ref="C2:C3"/>
    <mergeCell ref="D2:D3"/>
    <mergeCell ref="E2:F2"/>
    <mergeCell ref="G2:H2"/>
    <mergeCell ref="I2:J2"/>
    <mergeCell ref="K2:L2"/>
    <mergeCell ref="M2:P2"/>
    <mergeCell ref="Q2:V2"/>
    <mergeCell ref="W2:W3"/>
    <mergeCell ref="X2:Y2"/>
    <mergeCell ref="A4:D4"/>
    <mergeCell ref="A6:C17"/>
    <mergeCell ref="A19:C30"/>
    <mergeCell ref="A31:D31"/>
    <mergeCell ref="A33:C44"/>
    <mergeCell ref="A46:C57"/>
    <mergeCell ref="A58:D58"/>
    <mergeCell ref="A60:C71"/>
    <mergeCell ref="A73:C84"/>
    <mergeCell ref="A85:D85"/>
    <mergeCell ref="A86:A89"/>
    <mergeCell ref="B86:D86"/>
    <mergeCell ref="B87:D87"/>
    <mergeCell ref="B88:D88"/>
    <mergeCell ref="B89:D8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8" activeCellId="0" sqref="E28"/>
    </sheetView>
  </sheetViews>
  <sheetFormatPr defaultColWidth="8.50390625" defaultRowHeight="12.75" zeroHeight="false" outlineLevelRow="0" outlineLevelCol="0"/>
  <cols>
    <col collapsed="false" customWidth="true" hidden="false" outlineLevel="0" max="5" min="5" style="1" width="17.77"/>
    <col collapsed="false" customWidth="true" hidden="false" outlineLevel="0" max="6" min="6" style="1" width="17.64"/>
  </cols>
  <sheetData>
    <row r="1" customFormat="false" ht="15" hidden="false" customHeight="true" outlineLevel="0" collapsed="false">
      <c r="A1" s="2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28</v>
      </c>
      <c r="L1" s="1" t="s">
        <v>83</v>
      </c>
      <c r="M1" s="1" t="s">
        <v>40</v>
      </c>
      <c r="N1" s="1" t="s">
        <v>84</v>
      </c>
    </row>
    <row r="2" customFormat="false" ht="18.75" hidden="false" customHeight="true" outlineLevel="0" collapsed="false">
      <c r="A2" s="1" t="s">
        <v>85</v>
      </c>
      <c r="B2" s="1" t="s">
        <v>86</v>
      </c>
      <c r="C2" s="1" t="s">
        <v>87</v>
      </c>
      <c r="D2" s="1" t="s">
        <v>88</v>
      </c>
      <c r="E2" s="1" t="s">
        <v>89</v>
      </c>
      <c r="F2" s="2" t="s">
        <v>90</v>
      </c>
      <c r="G2" s="1" t="n">
        <v>160</v>
      </c>
      <c r="H2" s="1" t="n">
        <v>0</v>
      </c>
      <c r="I2" s="1" t="n">
        <v>0</v>
      </c>
      <c r="J2" s="1" t="n">
        <v>160</v>
      </c>
      <c r="K2" s="1" t="n">
        <v>159</v>
      </c>
      <c r="L2" s="1" t="n">
        <v>0</v>
      </c>
      <c r="M2" s="1" t="n">
        <v>159</v>
      </c>
      <c r="N2" s="1" t="n">
        <v>0</v>
      </c>
    </row>
    <row r="3" customFormat="false" ht="18.75" hidden="false" customHeight="true" outlineLevel="0" collapsed="false">
      <c r="A3" s="1" t="s">
        <v>85</v>
      </c>
      <c r="B3" s="1" t="s">
        <v>86</v>
      </c>
      <c r="C3" s="1" t="s">
        <v>87</v>
      </c>
      <c r="D3" s="1" t="s">
        <v>88</v>
      </c>
      <c r="E3" s="1" t="s">
        <v>91</v>
      </c>
      <c r="F3" s="2" t="s">
        <v>92</v>
      </c>
      <c r="G3" s="1" t="n">
        <v>160</v>
      </c>
      <c r="H3" s="1" t="n">
        <v>0</v>
      </c>
      <c r="I3" s="1" t="n">
        <v>0</v>
      </c>
      <c r="J3" s="1" t="n">
        <v>160</v>
      </c>
      <c r="K3" s="1" t="n">
        <v>1264542</v>
      </c>
      <c r="L3" s="1" t="n">
        <v>0</v>
      </c>
      <c r="M3" s="1" t="n">
        <v>1264542</v>
      </c>
      <c r="N3" s="1" t="n">
        <v>0</v>
      </c>
    </row>
    <row r="4" customFormat="false" ht="18.75" hidden="false" customHeight="true" outlineLevel="0" collapsed="false">
      <c r="A4" s="1" t="s">
        <v>85</v>
      </c>
      <c r="B4" s="1" t="s">
        <v>86</v>
      </c>
      <c r="C4" s="1" t="s">
        <v>87</v>
      </c>
      <c r="D4" s="1" t="s">
        <v>88</v>
      </c>
      <c r="E4" s="1" t="s">
        <v>93</v>
      </c>
      <c r="F4" s="2" t="s">
        <v>94</v>
      </c>
      <c r="G4" s="1" t="n">
        <v>160</v>
      </c>
      <c r="H4" s="1" t="n">
        <v>0</v>
      </c>
      <c r="I4" s="1" t="n">
        <v>0</v>
      </c>
      <c r="J4" s="1" t="n">
        <v>160</v>
      </c>
      <c r="K4" s="1" t="n">
        <v>83471</v>
      </c>
      <c r="L4" s="1" t="n">
        <v>0</v>
      </c>
      <c r="M4" s="1" t="n">
        <v>83471</v>
      </c>
      <c r="N4" s="1" t="n">
        <v>0</v>
      </c>
    </row>
    <row r="5" customFormat="false" ht="18.75" hidden="false" customHeight="true" outlineLevel="0" collapsed="false">
      <c r="A5" s="1" t="s">
        <v>85</v>
      </c>
      <c r="B5" s="1" t="s">
        <v>86</v>
      </c>
      <c r="C5" s="1" t="s">
        <v>87</v>
      </c>
      <c r="D5" s="1" t="s">
        <v>88</v>
      </c>
      <c r="E5" s="1" t="s">
        <v>95</v>
      </c>
      <c r="F5" s="2" t="s">
        <v>96</v>
      </c>
      <c r="G5" s="1" t="n">
        <v>160</v>
      </c>
      <c r="H5" s="1" t="n">
        <v>0</v>
      </c>
      <c r="I5" s="1" t="n">
        <v>0</v>
      </c>
      <c r="J5" s="1" t="n">
        <v>160</v>
      </c>
      <c r="K5" s="1" t="n">
        <v>1033047</v>
      </c>
      <c r="L5" s="1" t="n">
        <v>0</v>
      </c>
      <c r="M5" s="1" t="n">
        <v>1033047</v>
      </c>
      <c r="N5" s="1" t="n">
        <v>0</v>
      </c>
    </row>
    <row r="6" customFormat="false" ht="18.75" hidden="false" customHeight="true" outlineLevel="0" collapsed="false">
      <c r="A6" s="1" t="s">
        <v>85</v>
      </c>
      <c r="B6" s="1" t="s">
        <v>86</v>
      </c>
      <c r="C6" s="1" t="s">
        <v>87</v>
      </c>
      <c r="D6" s="1" t="s">
        <v>88</v>
      </c>
      <c r="E6" s="1" t="s">
        <v>97</v>
      </c>
      <c r="F6" s="2" t="s">
        <v>98</v>
      </c>
      <c r="G6" s="1" t="n">
        <v>160</v>
      </c>
      <c r="H6" s="1" t="n">
        <v>0</v>
      </c>
      <c r="I6" s="1" t="n">
        <v>0</v>
      </c>
      <c r="J6" s="1" t="n">
        <v>160</v>
      </c>
      <c r="K6" s="1" t="n">
        <v>81603</v>
      </c>
      <c r="L6" s="1" t="n">
        <v>0</v>
      </c>
      <c r="M6" s="1" t="n">
        <v>81603</v>
      </c>
      <c r="N6" s="1" t="n">
        <v>0</v>
      </c>
    </row>
    <row r="7" customFormat="false" ht="18.75" hidden="false" customHeight="true" outlineLevel="0" collapsed="false">
      <c r="A7" s="1" t="s">
        <v>85</v>
      </c>
      <c r="B7" s="1" t="s">
        <v>86</v>
      </c>
      <c r="C7" s="1" t="s">
        <v>87</v>
      </c>
      <c r="D7" s="1" t="s">
        <v>88</v>
      </c>
      <c r="E7" s="1" t="s">
        <v>99</v>
      </c>
      <c r="F7" s="2" t="s">
        <v>100</v>
      </c>
      <c r="G7" s="1" t="n">
        <v>160</v>
      </c>
      <c r="H7" s="1" t="n">
        <v>0</v>
      </c>
      <c r="I7" s="1" t="n">
        <v>0</v>
      </c>
      <c r="J7" s="1" t="n">
        <v>160</v>
      </c>
      <c r="K7" s="1" t="n">
        <v>312607</v>
      </c>
      <c r="L7" s="1" t="n">
        <v>0</v>
      </c>
      <c r="M7" s="1" t="n">
        <v>312607</v>
      </c>
      <c r="N7" s="1" t="n">
        <v>0</v>
      </c>
    </row>
    <row r="8" customFormat="false" ht="18.75" hidden="false" customHeight="true" outlineLevel="0" collapsed="false">
      <c r="A8" s="1" t="s">
        <v>85</v>
      </c>
      <c r="B8" s="1" t="s">
        <v>86</v>
      </c>
      <c r="C8" s="1" t="s">
        <v>87</v>
      </c>
      <c r="D8" s="1" t="s">
        <v>88</v>
      </c>
      <c r="E8" s="1" t="s">
        <v>101</v>
      </c>
      <c r="F8" s="2" t="s">
        <v>102</v>
      </c>
      <c r="G8" s="1" t="n">
        <v>160</v>
      </c>
      <c r="H8" s="1" t="n">
        <v>0</v>
      </c>
      <c r="I8" s="1" t="n">
        <v>0</v>
      </c>
      <c r="J8" s="1" t="n">
        <v>160</v>
      </c>
      <c r="K8" s="1" t="n">
        <v>5592</v>
      </c>
      <c r="L8" s="1" t="n">
        <v>0</v>
      </c>
      <c r="M8" s="1" t="n">
        <v>5592</v>
      </c>
      <c r="N8" s="1" t="n">
        <v>0</v>
      </c>
    </row>
    <row r="9" customFormat="false" ht="18.75" hidden="false" customHeight="true" outlineLevel="0" collapsed="false">
      <c r="A9" s="1" t="s">
        <v>85</v>
      </c>
      <c r="B9" s="1" t="s">
        <v>86</v>
      </c>
      <c r="C9" s="1" t="s">
        <v>87</v>
      </c>
      <c r="D9" s="1" t="s">
        <v>88</v>
      </c>
      <c r="E9" s="1" t="s">
        <v>103</v>
      </c>
      <c r="F9" s="2" t="s">
        <v>104</v>
      </c>
      <c r="G9" s="1" t="n">
        <v>160</v>
      </c>
      <c r="H9" s="1" t="n">
        <v>0</v>
      </c>
      <c r="I9" s="1" t="n">
        <v>0</v>
      </c>
      <c r="J9" s="1" t="n">
        <v>160</v>
      </c>
      <c r="K9" s="1" t="n">
        <v>128898</v>
      </c>
      <c r="L9" s="1" t="n">
        <v>0</v>
      </c>
      <c r="M9" s="1" t="n">
        <v>128898</v>
      </c>
      <c r="N9" s="1" t="n">
        <v>0</v>
      </c>
    </row>
    <row r="10" customFormat="false" ht="18.75" hidden="false" customHeight="true" outlineLevel="0" collapsed="false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105</v>
      </c>
      <c r="F10" s="2" t="s">
        <v>106</v>
      </c>
      <c r="G10" s="1" t="n">
        <v>160</v>
      </c>
      <c r="H10" s="1" t="n">
        <v>0</v>
      </c>
      <c r="I10" s="1" t="n">
        <v>0</v>
      </c>
      <c r="J10" s="1" t="n">
        <v>160</v>
      </c>
      <c r="K10" s="1" t="n">
        <v>3607673</v>
      </c>
      <c r="L10" s="1" t="n">
        <v>0</v>
      </c>
      <c r="M10" s="1" t="n">
        <v>3607673</v>
      </c>
      <c r="N10" s="1" t="n">
        <v>0</v>
      </c>
    </row>
    <row r="11" customFormat="false" ht="18.75" hidden="false" customHeight="true" outlineLevel="0" collapsed="false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107</v>
      </c>
      <c r="F11" s="2" t="s">
        <v>108</v>
      </c>
      <c r="G11" s="1" t="n">
        <v>160</v>
      </c>
      <c r="H11" s="1" t="n">
        <v>0</v>
      </c>
      <c r="I11" s="1" t="n">
        <v>0</v>
      </c>
      <c r="J11" s="1" t="n">
        <v>160</v>
      </c>
      <c r="K11" s="1" t="n">
        <v>15486</v>
      </c>
      <c r="L11" s="1" t="n">
        <v>0</v>
      </c>
      <c r="M11" s="1" t="n">
        <v>15486</v>
      </c>
      <c r="N11" s="1" t="n">
        <v>0</v>
      </c>
    </row>
    <row r="12" customFormat="false" ht="18.75" hidden="false" customHeight="true" outlineLevel="0" collapsed="false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109</v>
      </c>
      <c r="F12" s="2" t="s">
        <v>110</v>
      </c>
      <c r="G12" s="1" t="n">
        <v>160</v>
      </c>
      <c r="H12" s="1" t="n">
        <v>0</v>
      </c>
      <c r="I12" s="1" t="n">
        <v>0</v>
      </c>
      <c r="J12" s="1" t="n">
        <v>160</v>
      </c>
      <c r="K12" s="1" t="n">
        <v>11017</v>
      </c>
      <c r="L12" s="1" t="n">
        <v>0</v>
      </c>
      <c r="M12" s="1" t="n">
        <v>11017</v>
      </c>
      <c r="N12" s="1" t="n">
        <v>0</v>
      </c>
    </row>
    <row r="13" customFormat="false" ht="18.75" hidden="false" customHeight="true" outlineLevel="0" collapsed="false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111</v>
      </c>
      <c r="F13" s="2" t="s">
        <v>112</v>
      </c>
      <c r="G13" s="1" t="n">
        <v>160</v>
      </c>
      <c r="H13" s="1" t="n">
        <v>0</v>
      </c>
      <c r="I13" s="1" t="n">
        <v>0</v>
      </c>
      <c r="J13" s="1" t="n">
        <v>160</v>
      </c>
      <c r="K13" s="1" t="n">
        <v>3289</v>
      </c>
      <c r="L13" s="1" t="n">
        <v>0</v>
      </c>
      <c r="M13" s="1" t="n">
        <v>3289</v>
      </c>
      <c r="N13" s="1" t="n">
        <v>0</v>
      </c>
    </row>
    <row r="14" customFormat="false" ht="18.75" hidden="false" customHeight="true" outlineLevel="0" collapsed="false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113</v>
      </c>
      <c r="F14" s="2" t="s">
        <v>114</v>
      </c>
      <c r="G14" s="1" t="n">
        <v>160</v>
      </c>
      <c r="H14" s="1" t="n">
        <v>0</v>
      </c>
      <c r="I14" s="1" t="n">
        <v>0</v>
      </c>
      <c r="J14" s="1" t="n">
        <v>160</v>
      </c>
      <c r="K14" s="1" t="n">
        <v>139958</v>
      </c>
      <c r="L14" s="1" t="n">
        <v>0</v>
      </c>
      <c r="M14" s="1" t="n">
        <v>139958</v>
      </c>
      <c r="N14" s="1" t="n">
        <v>0</v>
      </c>
    </row>
    <row r="15" customFormat="false" ht="18.75" hidden="false" customHeight="true" outlineLevel="0" collapsed="false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115</v>
      </c>
      <c r="F15" s="2" t="s">
        <v>116</v>
      </c>
      <c r="G15" s="1" t="n">
        <v>160</v>
      </c>
      <c r="H15" s="1" t="n">
        <v>0</v>
      </c>
      <c r="I15" s="1" t="n">
        <v>0</v>
      </c>
      <c r="J15" s="1" t="n">
        <v>160</v>
      </c>
      <c r="K15" s="1" t="n">
        <v>39703</v>
      </c>
      <c r="L15" s="1" t="n">
        <v>0</v>
      </c>
      <c r="M15" s="1" t="n">
        <v>39703</v>
      </c>
      <c r="N15" s="1" t="n">
        <v>0</v>
      </c>
    </row>
    <row r="16" customFormat="false" ht="18.75" hidden="false" customHeight="true" outlineLevel="0" collapsed="false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117</v>
      </c>
      <c r="F16" s="2" t="s">
        <v>118</v>
      </c>
      <c r="G16" s="1" t="n">
        <v>160</v>
      </c>
      <c r="H16" s="1" t="n">
        <v>0</v>
      </c>
      <c r="I16" s="1" t="n">
        <v>0</v>
      </c>
      <c r="J16" s="1" t="n">
        <v>160</v>
      </c>
      <c r="K16" s="1" t="n">
        <v>2685</v>
      </c>
      <c r="L16" s="1" t="n">
        <v>0</v>
      </c>
      <c r="M16" s="1" t="n">
        <v>2685</v>
      </c>
      <c r="N16" s="1" t="n">
        <v>0</v>
      </c>
    </row>
    <row r="17" customFormat="false" ht="18.75" hidden="false" customHeight="true" outlineLevel="0" collapsed="false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119</v>
      </c>
      <c r="F17" s="2" t="s">
        <v>120</v>
      </c>
      <c r="G17" s="1" t="n">
        <v>160</v>
      </c>
      <c r="H17" s="1" t="n">
        <v>0</v>
      </c>
      <c r="I17" s="1" t="n">
        <v>0</v>
      </c>
      <c r="J17" s="1" t="n">
        <v>160</v>
      </c>
      <c r="K17" s="1" t="n">
        <v>124864</v>
      </c>
      <c r="L17" s="1" t="n">
        <v>0</v>
      </c>
      <c r="M17" s="1" t="n">
        <v>124864</v>
      </c>
      <c r="N17" s="1" t="n">
        <v>0</v>
      </c>
    </row>
    <row r="18" customFormat="false" ht="18.75" hidden="false" customHeight="true" outlineLevel="0" collapsed="false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121</v>
      </c>
      <c r="F18" s="2" t="s">
        <v>122</v>
      </c>
      <c r="G18" s="1" t="n">
        <v>160</v>
      </c>
      <c r="H18" s="1" t="n">
        <v>0</v>
      </c>
      <c r="I18" s="1" t="n">
        <v>0</v>
      </c>
      <c r="J18" s="1" t="n">
        <v>160</v>
      </c>
      <c r="K18" s="1" t="n">
        <v>16917</v>
      </c>
      <c r="L18" s="1" t="n">
        <v>0</v>
      </c>
      <c r="M18" s="1" t="n">
        <v>16917</v>
      </c>
      <c r="N18" s="1" t="n">
        <v>0</v>
      </c>
    </row>
    <row r="19" customFormat="false" ht="18.75" hidden="false" customHeight="true" outlineLevel="0" collapsed="false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123</v>
      </c>
      <c r="F19" s="2" t="s">
        <v>124</v>
      </c>
      <c r="G19" s="1" t="n">
        <v>160</v>
      </c>
      <c r="H19" s="1" t="n">
        <v>0</v>
      </c>
      <c r="I19" s="1" t="n">
        <v>0</v>
      </c>
      <c r="J19" s="1" t="n">
        <v>160</v>
      </c>
      <c r="K19" s="1" t="n">
        <v>1083</v>
      </c>
      <c r="L19" s="1" t="n">
        <v>0</v>
      </c>
      <c r="M19" s="1" t="n">
        <v>1083</v>
      </c>
      <c r="N19" s="1" t="n">
        <v>0</v>
      </c>
    </row>
    <row r="20" customFormat="false" ht="18.75" hidden="false" customHeight="true" outlineLevel="0" collapsed="false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125</v>
      </c>
      <c r="F20" s="2" t="s">
        <v>126</v>
      </c>
      <c r="G20" s="1" t="n">
        <v>160</v>
      </c>
      <c r="H20" s="1" t="n">
        <v>0</v>
      </c>
      <c r="I20" s="1" t="n">
        <v>0</v>
      </c>
      <c r="J20" s="1" t="n">
        <v>160</v>
      </c>
      <c r="K20" s="1" t="n">
        <v>2301</v>
      </c>
      <c r="L20" s="1" t="n">
        <v>0</v>
      </c>
      <c r="M20" s="1" t="n">
        <v>2301</v>
      </c>
      <c r="N20" s="1" t="n">
        <v>0</v>
      </c>
    </row>
    <row r="21" customFormat="false" ht="18.75" hidden="false" customHeight="true" outlineLevel="0" collapsed="false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127</v>
      </c>
      <c r="F21" s="2" t="s">
        <v>128</v>
      </c>
      <c r="G21" s="1" t="n">
        <v>160</v>
      </c>
      <c r="H21" s="1" t="n">
        <v>0</v>
      </c>
      <c r="I21" s="1" t="n">
        <v>0</v>
      </c>
      <c r="J21" s="1" t="n">
        <v>160</v>
      </c>
      <c r="K21" s="1" t="n">
        <v>176364</v>
      </c>
      <c r="L21" s="1" t="n">
        <v>0</v>
      </c>
      <c r="M21" s="1" t="n">
        <v>176364</v>
      </c>
      <c r="N21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2025-12-06T10:44:59Z</dcterms:created>
  <dc:creator/>
  <dc:description/>
  <dc:language>en-US</dc:language>
  <cp:lastModifiedBy/>
  <dcterms:modified xsi:type="dcterms:W3CDTF">2025-12-07T13:35:07Z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