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메타정보" sheetId="1" state="visible" r:id="rId3"/>
    <sheet name="조회조건" sheetId="2" state="visible" r:id="rId4"/>
    <sheet name="그리드컬럼" sheetId="3" state="visible" r:id="rId5"/>
    <sheet name="샘플데이터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<sst xmlns="http://schemas.openxmlformats.org/spreadsheetml/2006/main" count="129" uniqueCount="79">
  <si>
    <t xml:space="preserve">화면정의서</t>
  </si>
  <si>
    <t xml:space="preserve">화면명</t>
  </si>
  <si>
    <t xml:space="preserve">자재수불부</t>
  </si>
  <si>
    <r>
      <rPr>
        <sz val="12"/>
        <color theme="1"/>
        <rFont val="Noto Sans CJK SC"/>
        <family val="2"/>
      </rPr>
      <t xml:space="preserve">화면명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Noto Sans CJK SC"/>
        <family val="2"/>
      </rPr>
      <t xml:space="preserve">영문</t>
    </r>
    <r>
      <rPr>
        <sz val="12"/>
        <color theme="1"/>
        <rFont val="Calibri"/>
        <family val="2"/>
        <charset val="1"/>
      </rPr>
      <t xml:space="preserve">)</t>
    </r>
  </si>
  <si>
    <t xml:space="preserve">Material Inventory Ledger</t>
  </si>
  <si>
    <t xml:space="preserve">테이블명</t>
  </si>
  <si>
    <t xml:space="preserve">doi_material_resc</t>
  </si>
  <si>
    <t xml:space="preserve">조회조건 정의</t>
  </si>
  <si>
    <t xml:space="preserve">ID</t>
  </si>
  <si>
    <t xml:space="preserve">라벨</t>
  </si>
  <si>
    <t xml:space="preserve">타입</t>
  </si>
  <si>
    <t xml:space="preserve">필수여부</t>
  </si>
  <si>
    <t xml:space="preserve">기본값</t>
  </si>
  <si>
    <t xml:space="preserve">비고</t>
  </si>
  <si>
    <t xml:space="preserve">yyyymm</t>
  </si>
  <si>
    <t xml:space="preserve">년월</t>
  </si>
  <si>
    <t xml:space="preserve">select</t>
  </si>
  <si>
    <t xml:space="preserve">Y</t>
  </si>
  <si>
    <t xml:space="preserve">currentMonth</t>
  </si>
  <si>
    <t xml:space="preserve">조회 기간</t>
  </si>
  <si>
    <t xml:space="preserve">matcode</t>
  </si>
  <si>
    <t xml:space="preserve">자재코드</t>
  </si>
  <si>
    <t xml:space="preserve">N</t>
  </si>
  <si>
    <r>
      <rPr>
        <sz val="12"/>
        <color theme="1"/>
        <rFont val="Noto Sans CJK SC"/>
        <family val="2"/>
      </rPr>
      <t xml:space="preserve">전체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Noto Sans CJK SC"/>
        <family val="2"/>
      </rPr>
      <t xml:space="preserve">원재료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Noto Sans CJK SC"/>
        <family val="2"/>
      </rPr>
      <t xml:space="preserve">부재료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Noto Sans CJK SC"/>
        <family val="2"/>
      </rPr>
      <t xml:space="preserve">소모품</t>
    </r>
  </si>
  <si>
    <r>
      <rPr>
        <sz val="12"/>
        <color theme="1"/>
        <rFont val="Noto Sans CJK SC"/>
        <family val="2"/>
      </rPr>
      <t xml:space="preserve">단위 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Noto Sans CJK SC"/>
        <family val="2"/>
      </rPr>
      <t xml:space="preserve">수량</t>
    </r>
    <r>
      <rPr>
        <sz val="12"/>
        <color theme="1"/>
        <rFont val="Calibri"/>
        <family val="2"/>
        <charset val="1"/>
      </rPr>
      <t xml:space="preserve">_EA / L, </t>
    </r>
    <r>
      <rPr>
        <sz val="12"/>
        <color theme="1"/>
        <rFont val="Noto Sans CJK SC"/>
        <family val="2"/>
      </rPr>
      <t xml:space="preserve">금액</t>
    </r>
    <r>
      <rPr>
        <sz val="12"/>
        <color theme="1"/>
        <rFont val="Calibri"/>
        <family val="2"/>
        <charset val="1"/>
      </rPr>
      <t xml:space="preserve">_\</t>
    </r>
  </si>
  <si>
    <t xml:space="preserve">자재구분</t>
  </si>
  <si>
    <t xml:space="preserve">품번</t>
  </si>
  <si>
    <t xml:space="preserve">품명</t>
  </si>
  <si>
    <t xml:space="preserve">대분류</t>
  </si>
  <si>
    <t xml:space="preserve">중분류</t>
  </si>
  <si>
    <t xml:space="preserve">규격</t>
  </si>
  <si>
    <t xml:space="preserve">기초</t>
  </si>
  <si>
    <t xml:space="preserve">입고</t>
  </si>
  <si>
    <t xml:space="preserve">출고</t>
  </si>
  <si>
    <t xml:space="preserve">재고</t>
  </si>
  <si>
    <t xml:space="preserve">기초수량</t>
  </si>
  <si>
    <t xml:space="preserve">기초금액</t>
  </si>
  <si>
    <t xml:space="preserve">기초단가</t>
  </si>
  <si>
    <t xml:space="preserve">입고수량</t>
  </si>
  <si>
    <t xml:space="preserve">입고금액</t>
  </si>
  <si>
    <t xml:space="preserve">입고단가</t>
  </si>
  <si>
    <t xml:space="preserve">기타입고수량</t>
  </si>
  <si>
    <t xml:space="preserve">기타입고금액</t>
  </si>
  <si>
    <t xml:space="preserve">기타입고단가</t>
  </si>
  <si>
    <t xml:space="preserve">출고수량</t>
  </si>
  <si>
    <t xml:space="preserve">출고금액</t>
  </si>
  <si>
    <t xml:space="preserve">출고단가</t>
  </si>
  <si>
    <t xml:space="preserve">기타출고수량</t>
  </si>
  <si>
    <t xml:space="preserve">기타출고금액</t>
  </si>
  <si>
    <t xml:space="preserve">기타출고단가</t>
  </si>
  <si>
    <t xml:space="preserve">재고수량</t>
  </si>
  <si>
    <t xml:space="preserve">재고금액</t>
  </si>
  <si>
    <t xml:space="preserve">재고단가</t>
  </si>
  <si>
    <t xml:space="preserve">원재료 합계</t>
  </si>
  <si>
    <t xml:space="preserve">부재료 합계</t>
  </si>
  <si>
    <t xml:space="preserve">소모품 합계</t>
  </si>
  <si>
    <t xml:space="preserve">원재료</t>
  </si>
  <si>
    <t xml:space="preserve">DW00105000</t>
  </si>
  <si>
    <r>
      <rPr>
        <sz val="12"/>
        <color theme="1"/>
        <rFont val="Calibri"/>
        <family val="2"/>
        <charset val="1"/>
      </rPr>
      <t xml:space="preserve">LJ64-06535C(AS90,32</t>
    </r>
    <r>
      <rPr>
        <sz val="12"/>
        <color theme="1"/>
        <rFont val="Noto Sans CJK SC"/>
        <family val="2"/>
      </rPr>
      <t xml:space="preserve">㎛</t>
    </r>
    <r>
      <rPr>
        <sz val="12"/>
        <color theme="1"/>
        <rFont val="Calibri"/>
        <family val="2"/>
        <charset val="1"/>
      </rPr>
      <t xml:space="preserve">)</t>
    </r>
  </si>
  <si>
    <t xml:space="preserve">원장</t>
  </si>
  <si>
    <t xml:space="preserve">SDC</t>
  </si>
  <si>
    <r>
      <rPr>
        <sz val="12"/>
        <color theme="1"/>
        <rFont val="Calibri"/>
        <family val="2"/>
        <charset val="1"/>
      </rPr>
      <t xml:space="preserve">370*570*32</t>
    </r>
    <r>
      <rPr>
        <sz val="12"/>
        <color theme="1"/>
        <rFont val="Noto Sans CJK SC"/>
        <family val="2"/>
      </rPr>
      <t xml:space="preserve">㎛</t>
    </r>
  </si>
  <si>
    <t xml:space="preserve">DWA0002300</t>
  </si>
  <si>
    <r>
      <rPr>
        <sz val="12"/>
        <color theme="1"/>
        <rFont val="Calibri"/>
        <family val="2"/>
        <charset val="1"/>
      </rPr>
      <t xml:space="preserve">VINA Q7 </t>
    </r>
    <r>
      <rPr>
        <sz val="12"/>
        <color theme="1"/>
        <rFont val="Noto Sans CJK SC"/>
        <family val="2"/>
      </rPr>
      <t xml:space="preserve">양면바</t>
    </r>
  </si>
  <si>
    <t xml:space="preserve">카세트 부품</t>
  </si>
  <si>
    <t xml:space="preserve">엠에스레이저</t>
  </si>
  <si>
    <r>
      <rPr>
        <sz val="12"/>
        <color theme="1"/>
        <rFont val="Calibri"/>
        <family val="2"/>
        <charset val="1"/>
      </rPr>
      <t xml:space="preserve">SUS316L 257.5ⅹ31.0ⅹ4T, </t>
    </r>
    <r>
      <rPr>
        <sz val="12"/>
        <color theme="1"/>
        <rFont val="Noto Sans CJK SC"/>
        <family val="2"/>
      </rPr>
      <t xml:space="preserve">가공</t>
    </r>
  </si>
  <si>
    <t xml:space="preserve">부재료</t>
  </si>
  <si>
    <t xml:space="preserve">DW00340000</t>
  </si>
  <si>
    <t xml:space="preserve">FILM-FRONT 8075(ER01)</t>
  </si>
  <si>
    <t xml:space="preserve">필름</t>
  </si>
  <si>
    <t xml:space="preserve">세경하이테크</t>
  </si>
  <si>
    <t xml:space="preserve">DW00412001</t>
  </si>
  <si>
    <r>
      <rPr>
        <sz val="12"/>
        <color theme="1"/>
        <rFont val="Calibri"/>
        <family val="2"/>
        <charset val="1"/>
      </rPr>
      <t xml:space="preserve">707(BQ02) 6</t>
    </r>
    <r>
      <rPr>
        <sz val="12"/>
        <color theme="1"/>
        <rFont val="Noto Sans CJK SC"/>
        <family val="2"/>
      </rPr>
      <t xml:space="preserve">구 </t>
    </r>
    <r>
      <rPr>
        <sz val="12"/>
        <color theme="1"/>
        <rFont val="Calibri"/>
        <family val="2"/>
        <charset val="1"/>
      </rPr>
      <t xml:space="preserve">Tray</t>
    </r>
  </si>
  <si>
    <t xml:space="preserve">트레이</t>
  </si>
  <si>
    <t xml:space="preserve">우인테크</t>
  </si>
  <si>
    <r>
      <rPr>
        <sz val="12"/>
        <color theme="1"/>
        <rFont val="Calibri"/>
        <family val="2"/>
        <charset val="1"/>
      </rPr>
      <t xml:space="preserve">6</t>
    </r>
    <r>
      <rPr>
        <sz val="12"/>
        <color theme="1"/>
        <rFont val="Noto Sans CJK SC"/>
        <family val="2"/>
      </rPr>
      <t xml:space="preserve">구</t>
    </r>
  </si>
  <si>
    <t xml:space="preserve">샘플 데이터</t>
  </si>
  <si>
    <t xml:space="preserve">SUS316L 257.5ⅹ31.0ⅹ4T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</si>
</sst>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_-;\-* #,##0_-;_-* \-_-;_-@_-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Noto Sans CJK SC"/>
      <family val="2"/>
    </font>
    <font>
      <b val="true"/>
      <sz val="11"/>
      <color theme="1"/>
      <name val="맑은 고딕"/>
      <family val="3"/>
    </font>
    <font>
      <sz val="12"/>
      <color theme="1"/>
      <name val="Calibri"/>
      <family val="2"/>
    </font>
    <font>
      <b val="true"/>
      <sz val="11"/>
      <color theme="1"/>
      <name val="맑은 고딕"/>
      <family val="3"/>
      <charset val="129"/>
    </font>
    <font>
      <b val="true"/>
      <sz val="11"/>
      <name val="맑은 고딕"/>
      <family val="3"/>
      <charset val="129"/>
    </font>
    <font>
      <sz val="11"/>
      <color theme="1"/>
      <name val="맑은 고딕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2"/>
        <bgColor rgb="FFD0CE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0390625" defaultRowHeight="15" zeroHeight="false" outlineLevelRow="0" outlineLevelCol="0"/>
  <cols>
    <col collapsed="false" customWidth="true" hidden="false" outlineLevel="0" max="1" min="1" style="0" width="15.83"/>
    <col collapsed="false" customWidth="true" hidden="false" outlineLevel="0" max="2" min="2" style="0" width="50.83"/>
  </cols>
  <sheetData>
    <row r="1" customFormat="false" ht="15" hidden="false" customHeight="false" outlineLevel="0" collapsed="false">
      <c r="A1" s="1" t="s">
        <v>0</v>
      </c>
    </row>
    <row r="2" customFormat="false" ht="19.4" hidden="false" customHeight="false" outlineLevel="0" collapsed="false">
      <c r="A2" s="1" t="s">
        <v>1</v>
      </c>
      <c r="B2" s="1" t="s">
        <v>2</v>
      </c>
    </row>
    <row r="3" customFormat="false" ht="19.4" hidden="false" customHeight="false" outlineLevel="0" collapsed="false">
      <c r="A3" s="1" t="s">
        <v>3</v>
      </c>
      <c r="B3" s="0" t="s">
        <v>4</v>
      </c>
    </row>
    <row r="4" customFormat="false" ht="15" hidden="false" customHeight="false" outlineLevel="0" collapsed="false">
      <c r="A4" s="1" t="s">
        <v>5</v>
      </c>
      <c r="B4" s="2" t="s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50390625" defaultRowHeight="15" zeroHeight="false" outlineLevelRow="0" outlineLevelCol="0"/>
  <cols>
    <col collapsed="false" customWidth="true" hidden="false" outlineLevel="0" max="1" min="1" style="0" width="15.83"/>
    <col collapsed="false" customWidth="true" hidden="false" outlineLevel="0" max="3" min="2" style="0" width="12.83"/>
    <col collapsed="false" customWidth="true" hidden="false" outlineLevel="0" max="4" min="4" style="0" width="10.83"/>
    <col collapsed="false" customWidth="true" hidden="false" outlineLevel="0" max="5" min="5" style="0" width="15.83"/>
    <col collapsed="false" customWidth="true" hidden="false" outlineLevel="0" max="6" min="6" style="0" width="30.83"/>
  </cols>
  <sheetData>
    <row r="1" customFormat="false" ht="15" hidden="false" customHeight="false" outlineLevel="0" collapsed="false">
      <c r="A1" s="1" t="s">
        <v>7</v>
      </c>
    </row>
    <row r="2" customFormat="false" ht="15" hidden="false" customHeight="false" outlineLevel="0" collapsed="false">
      <c r="A2" s="0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 customFormat="false" ht="15" hidden="false" customHeight="false" outlineLevel="0" collapsed="false">
      <c r="A3" s="0" t="s">
        <v>14</v>
      </c>
      <c r="B3" s="1" t="s">
        <v>15</v>
      </c>
      <c r="C3" s="3" t="s">
        <v>16</v>
      </c>
      <c r="D3" s="0" t="s">
        <v>17</v>
      </c>
      <c r="E3" s="0" t="s">
        <v>18</v>
      </c>
      <c r="F3" s="1" t="s">
        <v>19</v>
      </c>
    </row>
    <row r="4" customFormat="false" ht="19.4" hidden="false" customHeight="false" outlineLevel="0" collapsed="false">
      <c r="A4" s="0" t="s">
        <v>20</v>
      </c>
      <c r="B4" s="1" t="s">
        <v>21</v>
      </c>
      <c r="C4" s="0" t="s">
        <v>16</v>
      </c>
      <c r="D4" s="0" t="s">
        <v>22</v>
      </c>
      <c r="F4" s="1" t="s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W3" activeCellId="0" sqref="W3"/>
    </sheetView>
  </sheetViews>
  <sheetFormatPr defaultColWidth="9.34375" defaultRowHeight="12.8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12.54"/>
    <col collapsed="false" customWidth="true" hidden="false" outlineLevel="0" max="3" min="3" style="0" width="21.44"/>
    <col collapsed="false" customWidth="true" hidden="false" outlineLevel="0" max="4" min="4" style="0" width="10.18"/>
    <col collapsed="false" customWidth="true" hidden="false" outlineLevel="0" max="5" min="5" style="0" width="11.42"/>
    <col collapsed="false" customWidth="true" hidden="false" outlineLevel="0" max="6" min="6" style="0" width="25.5"/>
    <col collapsed="false" customWidth="true" hidden="false" outlineLevel="0" max="12" min="7" style="0" width="7.59"/>
    <col collapsed="false" customWidth="true" hidden="false" outlineLevel="0" max="15" min="13" style="0" width="10.74"/>
    <col collapsed="false" customWidth="true" hidden="false" outlineLevel="0" max="18" min="16" style="0" width="7.59"/>
    <col collapsed="false" customWidth="true" hidden="false" outlineLevel="0" max="20" min="19" style="0" width="10.74"/>
    <col collapsed="false" customWidth="true" hidden="false" outlineLevel="0" max="21" min="21" style="0" width="20.32"/>
    <col collapsed="false" customWidth="true" hidden="false" outlineLevel="0" max="24" min="22" style="0" width="7.59"/>
  </cols>
  <sheetData>
    <row r="1" customFormat="false" ht="19.4" hidden="false" customHeight="false" outlineLevel="0" collapsed="false">
      <c r="A1" s="4" t="s">
        <v>2</v>
      </c>
      <c r="B1" s="4"/>
      <c r="C1" s="5"/>
      <c r="D1" s="5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7" t="s">
        <v>24</v>
      </c>
      <c r="V1" s="5"/>
      <c r="W1" s="5"/>
      <c r="X1" s="5"/>
    </row>
    <row r="2" customFormat="false" ht="13.8" hidden="false" customHeight="false" outlineLevel="0" collapsed="false">
      <c r="A2" s="8" t="s">
        <v>25</v>
      </c>
      <c r="B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8"/>
      <c r="I2" s="8"/>
      <c r="J2" s="8" t="s">
        <v>32</v>
      </c>
      <c r="K2" s="8"/>
      <c r="L2" s="8"/>
      <c r="M2" s="8"/>
      <c r="N2" s="8"/>
      <c r="O2" s="8"/>
      <c r="P2" s="8" t="s">
        <v>33</v>
      </c>
      <c r="Q2" s="8"/>
      <c r="R2" s="8"/>
      <c r="S2" s="8"/>
      <c r="T2" s="8"/>
      <c r="U2" s="8"/>
      <c r="V2" s="8" t="s">
        <v>34</v>
      </c>
      <c r="W2" s="8"/>
      <c r="X2" s="8"/>
    </row>
    <row r="3" customFormat="false" ht="13.8" hidden="false" customHeight="false" outlineLevel="0" collapsed="false">
      <c r="A3" s="8"/>
      <c r="B3" s="8"/>
      <c r="C3" s="8"/>
      <c r="D3" s="8"/>
      <c r="E3" s="8"/>
      <c r="F3" s="8"/>
      <c r="G3" s="8" t="s">
        <v>35</v>
      </c>
      <c r="H3" s="8" t="s">
        <v>36</v>
      </c>
      <c r="I3" s="8" t="s">
        <v>37</v>
      </c>
      <c r="J3" s="8" t="s">
        <v>38</v>
      </c>
      <c r="K3" s="8" t="s">
        <v>39</v>
      </c>
      <c r="L3" s="8" t="s">
        <v>40</v>
      </c>
      <c r="M3" s="8" t="s">
        <v>41</v>
      </c>
      <c r="N3" s="8" t="s">
        <v>42</v>
      </c>
      <c r="O3" s="8" t="s">
        <v>43</v>
      </c>
      <c r="P3" s="8" t="s">
        <v>44</v>
      </c>
      <c r="Q3" s="8" t="s">
        <v>45</v>
      </c>
      <c r="R3" s="8" t="s">
        <v>46</v>
      </c>
      <c r="S3" s="8" t="s">
        <v>47</v>
      </c>
      <c r="T3" s="8" t="s">
        <v>48</v>
      </c>
      <c r="U3" s="8" t="s">
        <v>49</v>
      </c>
      <c r="V3" s="8" t="s">
        <v>50</v>
      </c>
      <c r="W3" s="8" t="s">
        <v>51</v>
      </c>
      <c r="X3" s="8" t="s">
        <v>52</v>
      </c>
    </row>
    <row r="4" customFormat="false" ht="13.8" hidden="false" customHeight="false" outlineLevel="0" collapsed="false">
      <c r="A4" s="9" t="s">
        <v>53</v>
      </c>
      <c r="B4" s="9"/>
      <c r="C4" s="9"/>
      <c r="D4" s="9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customFormat="false" ht="13.8" hidden="false" customHeight="false" outlineLevel="0" collapsed="false">
      <c r="A5" s="9" t="s">
        <v>54</v>
      </c>
      <c r="B5" s="9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customFormat="false" ht="13.8" hidden="false" customHeight="false" outlineLevel="0" collapsed="false">
      <c r="A6" s="9" t="s">
        <v>55</v>
      </c>
      <c r="B6" s="9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customFormat="false" ht="19.4" hidden="false" customHeight="false" outlineLevel="0" collapsed="false">
      <c r="A7" s="11" t="s">
        <v>56</v>
      </c>
      <c r="B7" s="12" t="s">
        <v>57</v>
      </c>
      <c r="C7" s="13" t="s">
        <v>58</v>
      </c>
      <c r="D7" s="14" t="s">
        <v>59</v>
      </c>
      <c r="E7" s="13" t="s">
        <v>60</v>
      </c>
      <c r="F7" s="13" t="s">
        <v>61</v>
      </c>
      <c r="G7" s="15" t="n">
        <v>0</v>
      </c>
      <c r="H7" s="15" t="n">
        <v>0</v>
      </c>
      <c r="I7" s="15" t="n">
        <f aca="false">IFERROR(G7/H7,0)</f>
        <v>0</v>
      </c>
      <c r="J7" s="15" t="n">
        <v>0</v>
      </c>
      <c r="K7" s="15" t="n">
        <v>0</v>
      </c>
      <c r="L7" s="15" t="n">
        <f aca="false">IFERROR(J7/K7,0)</f>
        <v>0</v>
      </c>
      <c r="M7" s="15" t="n">
        <v>0</v>
      </c>
      <c r="N7" s="15" t="n">
        <v>0</v>
      </c>
      <c r="O7" s="15" t="n">
        <f aca="false">IFERROR(M7/N7,0)</f>
        <v>0</v>
      </c>
      <c r="P7" s="15" t="n">
        <v>0</v>
      </c>
      <c r="Q7" s="15" t="n">
        <v>0</v>
      </c>
      <c r="R7" s="15" t="n">
        <f aca="false">IFERROR(P7/Q7,0)</f>
        <v>0</v>
      </c>
      <c r="S7" s="15" t="n">
        <v>0</v>
      </c>
      <c r="T7" s="15" t="n">
        <v>0</v>
      </c>
      <c r="U7" s="15" t="n">
        <f aca="false">IFERROR(S7/T7,0)</f>
        <v>0</v>
      </c>
      <c r="V7" s="15" t="n">
        <v>0</v>
      </c>
      <c r="W7" s="15" t="n">
        <v>0</v>
      </c>
      <c r="X7" s="15" t="n">
        <f aca="false">IFERROR(V7/W7,0)</f>
        <v>0</v>
      </c>
    </row>
    <row r="8" customFormat="false" ht="19.4" hidden="false" customHeight="false" outlineLevel="0" collapsed="false">
      <c r="A8" s="14" t="s">
        <v>56</v>
      </c>
      <c r="B8" s="12" t="s">
        <v>62</v>
      </c>
      <c r="C8" s="13" t="s">
        <v>63</v>
      </c>
      <c r="D8" s="14" t="s">
        <v>64</v>
      </c>
      <c r="E8" s="14" t="s">
        <v>65</v>
      </c>
      <c r="F8" s="13" t="s">
        <v>66</v>
      </c>
      <c r="G8" s="15" t="n">
        <v>0</v>
      </c>
      <c r="H8" s="15" t="n">
        <v>0</v>
      </c>
      <c r="I8" s="15" t="n">
        <f aca="false">IFERROR(G8/H8,0)</f>
        <v>0</v>
      </c>
      <c r="J8" s="15" t="n">
        <v>0</v>
      </c>
      <c r="K8" s="15" t="n">
        <v>0</v>
      </c>
      <c r="L8" s="15" t="n">
        <f aca="false">IFERROR(J8/K8,0)</f>
        <v>0</v>
      </c>
      <c r="M8" s="15" t="n">
        <v>0</v>
      </c>
      <c r="N8" s="15" t="n">
        <v>0</v>
      </c>
      <c r="O8" s="15" t="n">
        <f aca="false">IFERROR(M8/N8,0)</f>
        <v>0</v>
      </c>
      <c r="P8" s="15" t="n">
        <v>0</v>
      </c>
      <c r="Q8" s="15" t="n">
        <v>0</v>
      </c>
      <c r="R8" s="15" t="n">
        <f aca="false">IFERROR(P8/Q8,0)</f>
        <v>0</v>
      </c>
      <c r="S8" s="15" t="n">
        <v>0</v>
      </c>
      <c r="T8" s="15" t="n">
        <v>0</v>
      </c>
      <c r="U8" s="15" t="n">
        <f aca="false">IFERROR(S8/T8,0)</f>
        <v>0</v>
      </c>
      <c r="V8" s="15" t="n">
        <v>0</v>
      </c>
      <c r="W8" s="15" t="n">
        <v>0</v>
      </c>
      <c r="X8" s="15" t="n">
        <f aca="false">IFERROR(V8/W8,0)</f>
        <v>0</v>
      </c>
    </row>
    <row r="9" customFormat="false" ht="15" hidden="false" customHeight="false" outlineLevel="0" collapsed="false">
      <c r="A9" s="14" t="s">
        <v>67</v>
      </c>
      <c r="B9" s="12" t="s">
        <v>68</v>
      </c>
      <c r="C9" s="13" t="s">
        <v>69</v>
      </c>
      <c r="D9" s="14" t="s">
        <v>70</v>
      </c>
      <c r="E9" s="14" t="s">
        <v>71</v>
      </c>
      <c r="F9" s="13"/>
      <c r="G9" s="15" t="n">
        <v>0</v>
      </c>
      <c r="H9" s="15" t="n">
        <v>0</v>
      </c>
      <c r="I9" s="15" t="n">
        <f aca="false">IFERROR(G9/H9,0)</f>
        <v>0</v>
      </c>
      <c r="J9" s="15" t="n">
        <v>0</v>
      </c>
      <c r="K9" s="15" t="n">
        <v>0</v>
      </c>
      <c r="L9" s="15" t="n">
        <f aca="false">IFERROR(J9/K9,0)</f>
        <v>0</v>
      </c>
      <c r="M9" s="15" t="n">
        <v>0</v>
      </c>
      <c r="N9" s="15" t="n">
        <v>0</v>
      </c>
      <c r="O9" s="15" t="n">
        <f aca="false">IFERROR(M9/N9,0)</f>
        <v>0</v>
      </c>
      <c r="P9" s="15" t="n">
        <v>0</v>
      </c>
      <c r="Q9" s="15" t="n">
        <v>0</v>
      </c>
      <c r="R9" s="15" t="n">
        <f aca="false">IFERROR(P9/Q9,0)</f>
        <v>0</v>
      </c>
      <c r="S9" s="15" t="n">
        <v>0</v>
      </c>
      <c r="T9" s="15" t="n">
        <v>0</v>
      </c>
      <c r="U9" s="15" t="n">
        <f aca="false">IFERROR(S9/T9,0)</f>
        <v>0</v>
      </c>
      <c r="V9" s="15" t="n">
        <v>0</v>
      </c>
      <c r="W9" s="15" t="n">
        <v>0</v>
      </c>
      <c r="X9" s="15" t="n">
        <f aca="false">IFERROR(V9/W9,0)</f>
        <v>0</v>
      </c>
    </row>
    <row r="10" customFormat="false" ht="19.4" hidden="false" customHeight="false" outlineLevel="0" collapsed="false">
      <c r="A10" s="14" t="s">
        <v>67</v>
      </c>
      <c r="B10" s="12" t="s">
        <v>72</v>
      </c>
      <c r="C10" s="13" t="s">
        <v>73</v>
      </c>
      <c r="D10" s="14" t="s">
        <v>74</v>
      </c>
      <c r="E10" s="14" t="s">
        <v>75</v>
      </c>
      <c r="F10" s="13" t="s">
        <v>76</v>
      </c>
      <c r="G10" s="15" t="n">
        <v>0</v>
      </c>
      <c r="H10" s="15" t="n">
        <v>0</v>
      </c>
      <c r="I10" s="15" t="n">
        <f aca="false">IFERROR(G10/H10,0)</f>
        <v>0</v>
      </c>
      <c r="J10" s="15" t="n">
        <v>0</v>
      </c>
      <c r="K10" s="15" t="n">
        <v>0</v>
      </c>
      <c r="L10" s="15" t="n">
        <f aca="false">IFERROR(J10/K10,0)</f>
        <v>0</v>
      </c>
      <c r="M10" s="15" t="n">
        <v>0</v>
      </c>
      <c r="N10" s="15" t="n">
        <v>0</v>
      </c>
      <c r="O10" s="15" t="n">
        <f aca="false">IFERROR(M10/N10,0)</f>
        <v>0</v>
      </c>
      <c r="P10" s="15" t="n">
        <v>0</v>
      </c>
      <c r="Q10" s="15" t="n">
        <v>0</v>
      </c>
      <c r="R10" s="15" t="n">
        <f aca="false">IFERROR(P10/Q10,0)</f>
        <v>0</v>
      </c>
      <c r="S10" s="15" t="n">
        <v>0</v>
      </c>
      <c r="T10" s="15" t="n">
        <v>0</v>
      </c>
      <c r="U10" s="15" t="n">
        <f aca="false">IFERROR(S10/T10,0)</f>
        <v>0</v>
      </c>
      <c r="V10" s="15" t="n">
        <v>0</v>
      </c>
      <c r="W10" s="15" t="n">
        <v>0</v>
      </c>
      <c r="X10" s="15" t="n">
        <f aca="false">IFERROR(V10/W10,0)</f>
        <v>0</v>
      </c>
    </row>
  </sheetData>
  <mergeCells count="10">
    <mergeCell ref="A2:A3"/>
    <mergeCell ref="B2:B3"/>
    <mergeCell ref="C2:C3"/>
    <mergeCell ref="D2:D3"/>
    <mergeCell ref="E2:E3"/>
    <mergeCell ref="F2:F3"/>
    <mergeCell ref="G2:I2"/>
    <mergeCell ref="J2:O2"/>
    <mergeCell ref="P2:U2"/>
    <mergeCell ref="V2:X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1" t="s">
        <v>77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50</v>
      </c>
      <c r="W2" s="1" t="s">
        <v>51</v>
      </c>
      <c r="X2" s="1" t="s">
        <v>52</v>
      </c>
    </row>
    <row r="3" customFormat="false" ht="19.4" hidden="false" customHeight="false" outlineLevel="0" collapsed="false">
      <c r="A3" s="1" t="s">
        <v>56</v>
      </c>
      <c r="B3" s="0" t="s">
        <v>57</v>
      </c>
      <c r="C3" s="0" t="s">
        <v>58</v>
      </c>
      <c r="D3" s="1" t="s">
        <v>59</v>
      </c>
      <c r="E3" s="0" t="s">
        <v>60</v>
      </c>
      <c r="F3" s="0" t="s">
        <v>61</v>
      </c>
      <c r="G3" s="0" t="n">
        <v>100</v>
      </c>
      <c r="H3" s="0" t="n">
        <v>1000000</v>
      </c>
      <c r="I3" s="0" t="n">
        <v>10000</v>
      </c>
      <c r="J3" s="0" t="n">
        <v>500</v>
      </c>
      <c r="K3" s="0" t="n">
        <v>5000000</v>
      </c>
      <c r="L3" s="0" t="n">
        <v>10000</v>
      </c>
      <c r="M3" s="0" t="n">
        <v>0</v>
      </c>
      <c r="N3" s="0" t="n">
        <v>0</v>
      </c>
      <c r="O3" s="0" t="n">
        <v>0</v>
      </c>
      <c r="P3" s="0" t="n">
        <v>300</v>
      </c>
      <c r="Q3" s="0" t="n">
        <v>3000000</v>
      </c>
      <c r="R3" s="0" t="n">
        <v>10000</v>
      </c>
      <c r="S3" s="0" t="n">
        <v>0</v>
      </c>
      <c r="T3" s="0" t="n">
        <v>0</v>
      </c>
      <c r="U3" s="0" t="n">
        <v>0</v>
      </c>
      <c r="V3" s="0" t="n">
        <v>300</v>
      </c>
      <c r="W3" s="0" t="n">
        <v>3000000</v>
      </c>
      <c r="X3" s="0" t="n">
        <v>10000</v>
      </c>
    </row>
    <row r="4" customFormat="false" ht="19.4" hidden="false" customHeight="false" outlineLevel="0" collapsed="false">
      <c r="A4" s="1" t="s">
        <v>56</v>
      </c>
      <c r="B4" s="0" t="s">
        <v>62</v>
      </c>
      <c r="C4" s="0" t="s">
        <v>63</v>
      </c>
      <c r="D4" s="1" t="s">
        <v>64</v>
      </c>
      <c r="E4" s="1" t="s">
        <v>65</v>
      </c>
      <c r="F4" s="0" t="s">
        <v>78</v>
      </c>
      <c r="G4" s="0" t="n">
        <v>50</v>
      </c>
      <c r="H4" s="0" t="n">
        <v>2500000</v>
      </c>
      <c r="I4" s="0" t="n">
        <v>50000</v>
      </c>
      <c r="J4" s="0" t="n">
        <v>200</v>
      </c>
      <c r="K4" s="0" t="n">
        <v>10000000</v>
      </c>
      <c r="L4" s="0" t="n">
        <v>50000</v>
      </c>
      <c r="M4" s="0" t="n">
        <v>0</v>
      </c>
      <c r="N4" s="0" t="n">
        <v>0</v>
      </c>
      <c r="O4" s="0" t="n">
        <v>0</v>
      </c>
      <c r="P4" s="0" t="n">
        <v>150</v>
      </c>
      <c r="Q4" s="0" t="n">
        <v>7500000</v>
      </c>
      <c r="R4" s="0" t="n">
        <v>50000</v>
      </c>
      <c r="S4" s="0" t="n">
        <v>0</v>
      </c>
      <c r="T4" s="0" t="n">
        <v>0</v>
      </c>
      <c r="U4" s="0" t="n">
        <v>0</v>
      </c>
      <c r="V4" s="0" t="n">
        <v>100</v>
      </c>
      <c r="W4" s="0" t="n">
        <v>5000000</v>
      </c>
      <c r="X4" s="0" t="n">
        <v>50000</v>
      </c>
    </row>
    <row r="5" customFormat="false" ht="15" hidden="false" customHeight="false" outlineLevel="0" collapsed="false">
      <c r="A5" s="1" t="s">
        <v>67</v>
      </c>
      <c r="B5" s="0" t="s">
        <v>68</v>
      </c>
      <c r="C5" s="0" t="s">
        <v>69</v>
      </c>
      <c r="D5" s="1" t="s">
        <v>70</v>
      </c>
      <c r="E5" s="1" t="s">
        <v>71</v>
      </c>
      <c r="G5" s="0" t="n">
        <v>1000</v>
      </c>
      <c r="H5" s="0" t="n">
        <v>500000</v>
      </c>
      <c r="I5" s="0" t="n">
        <v>500</v>
      </c>
      <c r="J5" s="0" t="n">
        <v>5000</v>
      </c>
      <c r="K5" s="0" t="n">
        <v>2500000</v>
      </c>
      <c r="L5" s="0" t="n">
        <v>500</v>
      </c>
      <c r="M5" s="0" t="n">
        <v>0</v>
      </c>
      <c r="N5" s="0" t="n">
        <v>0</v>
      </c>
      <c r="O5" s="0" t="n">
        <v>0</v>
      </c>
      <c r="P5" s="0" t="n">
        <v>4000</v>
      </c>
      <c r="Q5" s="0" t="n">
        <v>2000000</v>
      </c>
      <c r="R5" s="0" t="n">
        <v>500</v>
      </c>
      <c r="S5" s="0" t="n">
        <v>0</v>
      </c>
      <c r="T5" s="0" t="n">
        <v>0</v>
      </c>
      <c r="U5" s="0" t="n">
        <v>0</v>
      </c>
      <c r="V5" s="0" t="n">
        <v>2000</v>
      </c>
      <c r="W5" s="0" t="n">
        <v>1000000</v>
      </c>
      <c r="X5" s="0" t="n">
        <v>500</v>
      </c>
    </row>
    <row r="6" customFormat="false" ht="19.4" hidden="false" customHeight="false" outlineLevel="0" collapsed="false">
      <c r="A6" s="1" t="s">
        <v>67</v>
      </c>
      <c r="B6" s="0" t="s">
        <v>72</v>
      </c>
      <c r="C6" s="0" t="s">
        <v>73</v>
      </c>
      <c r="D6" s="1" t="s">
        <v>74</v>
      </c>
      <c r="E6" s="1" t="s">
        <v>75</v>
      </c>
      <c r="F6" s="0" t="s">
        <v>76</v>
      </c>
      <c r="G6" s="0" t="n">
        <v>200</v>
      </c>
      <c r="H6" s="0" t="n">
        <v>400000</v>
      </c>
      <c r="I6" s="0" t="n">
        <v>2000</v>
      </c>
      <c r="J6" s="0" t="n">
        <v>1000</v>
      </c>
      <c r="K6" s="0" t="n">
        <v>2000000</v>
      </c>
      <c r="L6" s="0" t="n">
        <v>2000</v>
      </c>
      <c r="M6" s="0" t="n">
        <v>0</v>
      </c>
      <c r="N6" s="0" t="n">
        <v>0</v>
      </c>
      <c r="O6" s="0" t="n">
        <v>0</v>
      </c>
      <c r="P6" s="0" t="n">
        <v>800</v>
      </c>
      <c r="Q6" s="0" t="n">
        <v>1600000</v>
      </c>
      <c r="R6" s="0" t="n">
        <v>2000</v>
      </c>
      <c r="S6" s="0" t="n">
        <v>0</v>
      </c>
      <c r="T6" s="0" t="n">
        <v>0</v>
      </c>
      <c r="U6" s="0" t="n">
        <v>0</v>
      </c>
      <c r="V6" s="0" t="n">
        <v>400</v>
      </c>
      <c r="W6" s="0" t="n">
        <v>800000</v>
      </c>
      <c r="X6" s="0" t="n">
        <v>2000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2025-12-06T13:42:43Z</dcterms:modified>
  <cp:revision>4</cp:revision>
  <dc:subject/>
  <dc:title/>
</cp:coreProperties>
</file>