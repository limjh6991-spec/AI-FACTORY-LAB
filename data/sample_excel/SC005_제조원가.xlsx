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메타정보" sheetId="1" state="visible" r:id="rId1"/>
    <sheet xmlns:r="http://schemas.openxmlformats.org/officeDocument/2006/relationships" name="조회조건" sheetId="2" state="visible" r:id="rId2"/>
    <sheet xmlns:r="http://schemas.openxmlformats.org/officeDocument/2006/relationships" name="그리드컬럼" sheetId="3" state="visible" r:id="rId3"/>
    <sheet xmlns:r="http://schemas.openxmlformats.org/officeDocument/2006/relationships" name="샘플데이터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1">
    <font>
      <name val="Calibri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color theme="1"/>
      <sz val="12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b val="1"/>
      <color theme="0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color theme="1"/>
      <sz val="11"/>
    </font>
    <font>
      <name val="Noto Sans CJK SC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rgb="FF00B050"/>
        <bgColor rgb="FF00808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9" fontId="8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9" fontId="9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9" fillId="0" borderId="3" applyAlignment="1" pivotButton="0" quotePrefix="0" xfId="0">
      <alignment horizontal="general" vertical="center"/>
    </xf>
    <xf numFmtId="9" fontId="9" fillId="0" borderId="3" applyAlignment="1" pivotButton="0" quotePrefix="0" xfId="0">
      <alignment horizontal="general" vertical="center"/>
    </xf>
    <xf numFmtId="164" fontId="9" fillId="0" borderId="1" applyAlignment="1" pivotButton="0" quotePrefix="0" xfId="0">
      <alignment horizontal="general" vertical="center"/>
    </xf>
    <xf numFmtId="9" fontId="9" fillId="0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9" fontId="7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64" fontId="8" fillId="0" borderId="2" applyAlignment="1" pivotButton="0" quotePrefix="0" xfId="0">
      <alignment horizontal="center" vertical="center"/>
    </xf>
    <xf numFmtId="9" fontId="8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9" fontId="9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5" fillId="0" borderId="1" applyAlignment="1" pivotButton="0" quotePrefix="0" xfId="0">
      <alignment horizontal="center" vertical="center"/>
    </xf>
    <xf numFmtId="164" fontId="9" fillId="0" borderId="3" applyAlignment="1" pivotButton="0" quotePrefix="0" xfId="0">
      <alignment horizontal="general" vertical="center"/>
    </xf>
    <xf numFmtId="9" fontId="9" fillId="0" borderId="3" applyAlignment="1" pivotButton="0" quotePrefix="0" xfId="0">
      <alignment horizontal="general" vertical="center"/>
    </xf>
    <xf numFmtId="164" fontId="9" fillId="0" borderId="1" applyAlignment="1" pivotButton="0" quotePrefix="0" xfId="0">
      <alignment horizontal="general" vertical="center"/>
    </xf>
    <xf numFmtId="9" fontId="9" fillId="0" borderId="1" applyAlignment="1" pivotButton="0" quotePrefix="0" xfId="0">
      <alignment horizontal="general" vertical="center"/>
    </xf>
    <xf numFmtId="0" fontId="0" fillId="0" borderId="5" pivotButton="0" quotePrefix="0" xfId="0"/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2" activeCellId="0" sqref="A2"/>
    </sheetView>
  </sheetViews>
  <sheetFormatPr baseColWidth="8" defaultColWidth="8.50390625" defaultRowHeight="15" zeroHeight="0" outlineLevelRow="0"/>
  <cols>
    <col width="15.83" customWidth="1" style="28" min="1" max="1"/>
    <col width="50.83" customWidth="1" style="28" min="2" max="2"/>
  </cols>
  <sheetData>
    <row r="1" ht="15" customHeight="1" s="29">
      <c r="A1" s="30" t="inlineStr">
        <is>
          <t>화면정의서</t>
        </is>
      </c>
    </row>
    <row r="2" ht="16.5" customHeight="1" s="29">
      <c r="A2" s="30" t="inlineStr">
        <is>
          <t>화면명</t>
        </is>
      </c>
      <c r="B2" s="31" t="inlineStr">
        <is>
          <t>제조원가(제품)</t>
        </is>
      </c>
    </row>
    <row r="3" ht="18.75" customHeight="1" s="29">
      <c r="A3" s="30" t="inlineStr">
        <is>
          <t>화면명(영문)</t>
        </is>
      </c>
    </row>
    <row r="4" ht="15" customHeight="1" s="29">
      <c r="A4" s="30" t="inlineStr">
        <is>
          <t>테이블명</t>
        </is>
      </c>
      <c r="B4" s="32" t="inlineStr">
        <is>
          <t>doi_stco</t>
        </is>
      </c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C181" activeCellId="0" sqref="C181"/>
    </sheetView>
  </sheetViews>
  <sheetFormatPr baseColWidth="8" defaultColWidth="8.50390625" defaultRowHeight="15" zeroHeight="0" outlineLevelRow="0"/>
  <cols>
    <col width="15.83" customWidth="1" style="28" min="1" max="1"/>
    <col width="12.83" customWidth="1" style="28" min="2" max="3"/>
    <col width="10.83" customWidth="1" style="28" min="4" max="4"/>
    <col width="15.83" customWidth="1" style="28" min="5" max="5"/>
    <col width="30.83" customWidth="1" style="28" min="6" max="6"/>
  </cols>
  <sheetData>
    <row r="1" ht="15" customHeight="1" s="29">
      <c r="A1" s="30" t="inlineStr">
        <is>
          <t>조회조건 정의</t>
        </is>
      </c>
    </row>
    <row r="2" ht="15" customHeight="1" s="29">
      <c r="A2" s="28" t="inlineStr">
        <is>
          <t>ID</t>
        </is>
      </c>
      <c r="B2" s="30" t="inlineStr">
        <is>
          <t>라벨</t>
        </is>
      </c>
      <c r="C2" s="30" t="inlineStr">
        <is>
          <t>타입</t>
        </is>
      </c>
      <c r="D2" s="30" t="inlineStr">
        <is>
          <t>필수여부</t>
        </is>
      </c>
      <c r="E2" s="30" t="inlineStr">
        <is>
          <t>기본값</t>
        </is>
      </c>
      <c r="F2" s="30" t="inlineStr">
        <is>
          <t>비고</t>
        </is>
      </c>
    </row>
    <row r="3" ht="15" customHeight="1" s="29">
      <c r="A3" s="28" t="inlineStr">
        <is>
          <t>yyyymm</t>
        </is>
      </c>
      <c r="B3" s="30" t="inlineStr">
        <is>
          <t>년월</t>
        </is>
      </c>
      <c r="C3" s="28" t="inlineStr">
        <is>
          <t>select</t>
        </is>
      </c>
      <c r="D3" s="28" t="inlineStr">
        <is>
          <t>Y</t>
        </is>
      </c>
      <c r="E3" s="28" t="inlineStr">
        <is>
          <t>currentMonth</t>
        </is>
      </c>
      <c r="F3" s="30" t="inlineStr">
        <is>
          <t>조회 기간</t>
        </is>
      </c>
    </row>
    <row r="1048576" ht="12.75" customHeight="1" s="29"/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89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G20" activeCellId="0" sqref="G20"/>
    </sheetView>
  </sheetViews>
  <sheetFormatPr baseColWidth="8" defaultColWidth="9.34375" defaultRowHeight="15" zeroHeight="0" outlineLevelRow="0"/>
  <cols>
    <col width="9.51" customWidth="1" style="28" min="1" max="1"/>
    <col width="12.54" customWidth="1" style="28" min="2" max="2"/>
    <col width="21.44" customWidth="1" style="28" min="3" max="3"/>
    <col width="10.18" customWidth="1" style="28" min="4" max="4"/>
    <col width="11.42" customWidth="1" style="28" min="5" max="5"/>
    <col width="25.5" customWidth="1" style="28" min="6" max="6"/>
    <col width="7.59" customWidth="1" style="28" min="7" max="12"/>
    <col width="10.74" customWidth="1" style="28" min="13" max="15"/>
    <col width="7.59" customWidth="1" style="28" min="16" max="18"/>
    <col width="10.74" customWidth="1" style="28" min="19" max="20"/>
    <col width="20.32" customWidth="1" style="28" min="21" max="21"/>
    <col width="7.59" customWidth="1" style="28" min="22" max="24"/>
  </cols>
  <sheetData>
    <row r="1" ht="18.75" customHeight="1" s="29">
      <c r="A1" s="31" t="inlineStr">
        <is>
          <t>제조원가(제품)</t>
        </is>
      </c>
      <c r="B1" s="33" t="n"/>
      <c r="C1" s="34" t="n"/>
      <c r="D1" s="34" t="n"/>
      <c r="E1" s="35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  <c r="R1" s="34" t="n"/>
      <c r="S1" s="34" t="n"/>
      <c r="T1" s="34" t="n"/>
      <c r="U1" s="36" t="inlineStr">
        <is>
          <t>단위 : 수량_EA / L, 금액_\</t>
        </is>
      </c>
      <c r="V1" s="34" t="n"/>
      <c r="W1" s="34" t="n"/>
      <c r="X1" s="34" t="n"/>
    </row>
    <row r="2" ht="16.5" customHeight="1" s="29">
      <c r="A2" s="37" t="inlineStr">
        <is>
          <t>구분</t>
        </is>
      </c>
      <c r="B2" s="37" t="inlineStr">
        <is>
          <t>코드</t>
        </is>
      </c>
      <c r="C2" s="37" t="inlineStr">
        <is>
          <t>Inch</t>
        </is>
      </c>
      <c r="D2" s="37" t="inlineStr">
        <is>
          <t>SITE</t>
        </is>
      </c>
      <c r="E2" s="37" t="inlineStr">
        <is>
          <t>계획</t>
        </is>
      </c>
      <c r="F2" s="38" t="n"/>
      <c r="G2" s="37" t="inlineStr">
        <is>
          <t>계획 대비 실적</t>
        </is>
      </c>
      <c r="H2" s="38" t="n"/>
      <c r="I2" s="37" t="inlineStr">
        <is>
          <t>달성률</t>
        </is>
      </c>
      <c r="J2" s="38" t="n"/>
      <c r="K2" s="37" t="inlineStr">
        <is>
          <t>기초재공품재고(BOH)</t>
        </is>
      </c>
      <c r="L2" s="38" t="n"/>
      <c r="M2" s="37" t="inlineStr">
        <is>
          <t>입고(IN)</t>
        </is>
      </c>
      <c r="N2" s="39" t="n"/>
      <c r="O2" s="39" t="n"/>
      <c r="P2" s="38" t="n"/>
      <c r="Q2" s="37" t="inlineStr">
        <is>
          <t>출고(OUT)</t>
        </is>
      </c>
      <c r="R2" s="39" t="n"/>
      <c r="S2" s="39" t="n"/>
      <c r="T2" s="39" t="n"/>
      <c r="U2" s="39" t="n"/>
      <c r="V2" s="38" t="n"/>
      <c r="W2" s="40" t="inlineStr">
        <is>
          <t>불량률</t>
        </is>
      </c>
      <c r="X2" s="37" t="inlineStr">
        <is>
          <t>기말재공품재고(EOH)</t>
        </is>
      </c>
      <c r="Y2" s="38" t="n"/>
      <c r="Z2" s="41" t="n"/>
    </row>
    <row r="3" ht="16.5" customHeight="1" s="29">
      <c r="A3" s="42" t="n"/>
      <c r="B3" s="42" t="n"/>
      <c r="C3" s="42" t="n"/>
      <c r="D3" s="42" t="n"/>
      <c r="E3" s="37" t="inlineStr">
        <is>
          <t>plan_qty</t>
        </is>
      </c>
      <c r="F3" s="37" t="inlineStr">
        <is>
          <t>plan_amt</t>
        </is>
      </c>
      <c r="G3" s="43" t="inlineStr">
        <is>
          <t>actual_qty</t>
        </is>
      </c>
      <c r="H3" s="43" t="inlineStr">
        <is>
          <t>actual_amt</t>
        </is>
      </c>
      <c r="I3" s="43" t="inlineStr">
        <is>
          <t>achv_qty</t>
        </is>
      </c>
      <c r="J3" s="43" t="inlineStr">
        <is>
          <t>achv_amt</t>
        </is>
      </c>
      <c r="K3" s="43" t="inlineStr">
        <is>
          <t>boh_qty</t>
        </is>
      </c>
      <c r="L3" s="43" t="inlineStr">
        <is>
          <t>boh_amt</t>
        </is>
      </c>
      <c r="M3" s="43" t="inlineStr">
        <is>
          <t>생산입고수량</t>
        </is>
      </c>
      <c r="N3" s="43" t="inlineStr">
        <is>
          <t>생산입고금액</t>
        </is>
      </c>
      <c r="O3" s="43" t="inlineStr">
        <is>
          <t>타계정입고수량</t>
        </is>
      </c>
      <c r="P3" s="43" t="inlineStr">
        <is>
          <t>타계정입고금액</t>
        </is>
      </c>
      <c r="Q3" s="43" t="inlineStr">
        <is>
          <t>출고수량</t>
        </is>
      </c>
      <c r="R3" s="43" t="inlineStr">
        <is>
          <t>출고금액</t>
        </is>
      </c>
      <c r="S3" s="43" t="inlineStr">
        <is>
          <t>타계정출고수량</t>
        </is>
      </c>
      <c r="T3" s="43" t="inlineStr">
        <is>
          <t>타계정출고금액</t>
        </is>
      </c>
      <c r="U3" s="43" t="inlineStr">
        <is>
          <t>LOSS수량</t>
        </is>
      </c>
      <c r="V3" s="43" t="inlineStr">
        <is>
          <t>LOSS금액</t>
        </is>
      </c>
      <c r="W3" s="42" t="n"/>
      <c r="X3" s="43" t="inlineStr">
        <is>
          <t>eoh_qty</t>
        </is>
      </c>
      <c r="Y3" s="43" t="inlineStr">
        <is>
          <t>eoh_amt</t>
        </is>
      </c>
      <c r="Z3" s="41" t="n"/>
    </row>
    <row r="4" ht="15" customHeight="1" s="29">
      <c r="A4" s="44" t="inlineStr">
        <is>
          <t>당월 총 생산실적</t>
        </is>
      </c>
      <c r="B4" s="45" t="n"/>
      <c r="C4" s="45" t="n"/>
      <c r="D4" s="46" t="n"/>
      <c r="E4" s="47">
        <f>E31+E58</f>
        <v/>
      </c>
      <c r="F4" s="47" t="n"/>
      <c r="G4" s="47" t="n"/>
      <c r="H4" s="47" t="n"/>
      <c r="I4" s="47" t="n"/>
      <c r="J4" s="47" t="n"/>
      <c r="K4" s="47">
        <f>K31+K58</f>
        <v/>
      </c>
      <c r="L4" s="47" t="n"/>
      <c r="M4" s="47">
        <f>M31+M58</f>
        <v/>
      </c>
      <c r="N4" s="47" t="n"/>
      <c r="O4" s="47">
        <f>O31+O58</f>
        <v/>
      </c>
      <c r="P4" s="47" t="n"/>
      <c r="Q4" s="47">
        <f>Q31+Q58</f>
        <v/>
      </c>
      <c r="R4" s="47" t="n"/>
      <c r="S4" s="47" t="n"/>
      <c r="T4" s="47">
        <f>T31+T58</f>
        <v/>
      </c>
      <c r="U4" s="47" t="n"/>
      <c r="V4" s="47" t="n"/>
      <c r="W4" s="48" t="n">
        <v>0</v>
      </c>
      <c r="X4" s="47">
        <f>X31+X58</f>
        <v/>
      </c>
      <c r="Y4" s="47">
        <f>Y31+Y58</f>
        <v/>
      </c>
      <c r="Z4" s="41" t="n"/>
    </row>
    <row r="5" ht="15" customHeight="1" s="29">
      <c r="A5" s="49" t="inlineStr">
        <is>
          <t>양산</t>
        </is>
      </c>
      <c r="B5" s="50" t="n">
        <v>8100</v>
      </c>
      <c r="C5" s="50" t="inlineStr">
        <is>
          <t>8.00"</t>
        </is>
      </c>
      <c r="D5" s="50" t="inlineStr">
        <is>
          <t>MX</t>
        </is>
      </c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2" t="n"/>
      <c r="X5" s="51" t="n"/>
      <c r="Y5" s="51" t="n"/>
      <c r="Z5" s="41" t="n"/>
    </row>
    <row r="6" ht="18.75" customHeight="1" s="29">
      <c r="A6" s="50" t="n"/>
      <c r="B6" s="45" t="n"/>
      <c r="C6" s="46" t="n"/>
      <c r="D6" s="50" t="inlineStr">
        <is>
          <t>1월</t>
        </is>
      </c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2" t="n"/>
      <c r="X6" s="51" t="n"/>
      <c r="Y6" s="51" t="n"/>
      <c r="Z6" s="41" t="n"/>
    </row>
    <row r="7" ht="18.75" customHeight="1" s="29">
      <c r="A7" s="53" t="n"/>
      <c r="C7" s="54" t="n"/>
      <c r="D7" s="50" t="inlineStr">
        <is>
          <t>2월</t>
        </is>
      </c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2" t="n"/>
      <c r="X7" s="51" t="n"/>
      <c r="Y7" s="51" t="n"/>
      <c r="Z7" s="41" t="n"/>
    </row>
    <row r="8" ht="18.75" customHeight="1" s="29">
      <c r="A8" s="53" t="n"/>
      <c r="C8" s="54" t="n"/>
      <c r="D8" s="50" t="inlineStr">
        <is>
          <t>3월</t>
        </is>
      </c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51" t="n"/>
      <c r="W8" s="52" t="n"/>
      <c r="X8" s="51" t="n"/>
      <c r="Y8" s="51" t="n"/>
      <c r="Z8" s="41" t="n"/>
    </row>
    <row r="9" ht="18.75" customHeight="1" s="29">
      <c r="A9" s="53" t="n"/>
      <c r="C9" s="54" t="n"/>
      <c r="D9" s="50" t="inlineStr">
        <is>
          <t>4월</t>
        </is>
      </c>
      <c r="E9" s="51" t="n"/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2" t="n"/>
      <c r="X9" s="51" t="n"/>
      <c r="Y9" s="51" t="n"/>
      <c r="Z9" s="41" t="n"/>
    </row>
    <row r="10" ht="18.75" customHeight="1" s="29">
      <c r="A10" s="53" t="n"/>
      <c r="C10" s="54" t="n"/>
      <c r="D10" s="50" t="inlineStr">
        <is>
          <t>5월</t>
        </is>
      </c>
      <c r="E10" s="51" t="n"/>
      <c r="F10" s="51" t="n"/>
      <c r="G10" s="51" t="n"/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2" t="n"/>
      <c r="X10" s="51" t="n"/>
      <c r="Y10" s="51" t="n"/>
      <c r="Z10" s="41" t="n"/>
    </row>
    <row r="11" ht="18.75" customHeight="1" s="29">
      <c r="A11" s="53" t="n"/>
      <c r="C11" s="54" t="n"/>
      <c r="D11" s="50" t="inlineStr">
        <is>
          <t>6월</t>
        </is>
      </c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2" t="n"/>
      <c r="X11" s="51" t="n"/>
      <c r="Y11" s="51" t="n"/>
      <c r="Z11" s="41" t="n"/>
    </row>
    <row r="12" ht="18.75" customHeight="1" s="29">
      <c r="A12" s="53" t="n"/>
      <c r="C12" s="54" t="n"/>
      <c r="D12" s="50" t="inlineStr">
        <is>
          <t>7월</t>
        </is>
      </c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2" t="n"/>
      <c r="X12" s="51" t="n"/>
      <c r="Y12" s="51" t="n"/>
      <c r="Z12" s="41" t="n"/>
    </row>
    <row r="13" ht="18.75" customHeight="1" s="29">
      <c r="A13" s="53" t="n"/>
      <c r="C13" s="54" t="n"/>
      <c r="D13" s="50" t="inlineStr">
        <is>
          <t>8월</t>
        </is>
      </c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2" t="n"/>
      <c r="X13" s="51" t="n"/>
      <c r="Y13" s="51" t="n"/>
      <c r="Z13" s="41" t="n"/>
    </row>
    <row r="14" ht="18.75" customHeight="1" s="29">
      <c r="A14" s="53" t="n"/>
      <c r="C14" s="54" t="n"/>
      <c r="D14" s="50" t="inlineStr">
        <is>
          <t>9월</t>
        </is>
      </c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2" t="n"/>
      <c r="X14" s="51" t="n"/>
      <c r="Y14" s="51" t="n"/>
      <c r="Z14" s="41" t="n"/>
    </row>
    <row r="15" ht="18.75" customHeight="1" s="29">
      <c r="A15" s="53" t="n"/>
      <c r="C15" s="54" t="n"/>
      <c r="D15" s="50" t="inlineStr">
        <is>
          <t>10월</t>
        </is>
      </c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2" t="n"/>
      <c r="X15" s="51" t="n"/>
      <c r="Y15" s="51" t="n"/>
      <c r="Z15" s="41" t="n"/>
    </row>
    <row r="16" ht="18.75" customHeight="1" s="29">
      <c r="A16" s="53" t="n"/>
      <c r="C16" s="54" t="n"/>
      <c r="D16" s="50" t="inlineStr">
        <is>
          <t>11월</t>
        </is>
      </c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2" t="n"/>
      <c r="X16" s="51" t="n"/>
      <c r="Y16" s="51" t="n"/>
      <c r="Z16" s="41" t="n"/>
    </row>
    <row r="17" ht="18.75" customHeight="1" s="29">
      <c r="A17" s="55" t="n"/>
      <c r="B17" s="56" t="n"/>
      <c r="C17" s="57" t="n"/>
      <c r="D17" s="50" t="inlineStr">
        <is>
          <t>12월</t>
        </is>
      </c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2" t="n"/>
      <c r="X17" s="51" t="n"/>
      <c r="Y17" s="51" t="n"/>
      <c r="Z17" s="41" t="n"/>
    </row>
    <row r="18" ht="15" customHeight="1" s="29">
      <c r="A18" s="49" t="inlineStr">
        <is>
          <t>양산</t>
        </is>
      </c>
      <c r="B18" s="50" t="n">
        <v>8200</v>
      </c>
      <c r="C18" s="50" t="inlineStr">
        <is>
          <t>7.10"</t>
        </is>
      </c>
      <c r="D18" s="49" t="inlineStr">
        <is>
          <t>기타</t>
        </is>
      </c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2" t="n"/>
      <c r="X18" s="51" t="n"/>
      <c r="Y18" s="51" t="n"/>
      <c r="Z18" s="41" t="n"/>
    </row>
    <row r="19" ht="18.75" customHeight="1" s="29">
      <c r="A19" s="50" t="n"/>
      <c r="B19" s="45" t="n"/>
      <c r="C19" s="46" t="n"/>
      <c r="D19" s="50" t="inlineStr">
        <is>
          <t>1월</t>
        </is>
      </c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2" t="n"/>
      <c r="X19" s="51" t="n"/>
      <c r="Y19" s="51" t="n"/>
      <c r="Z19" s="41" t="n"/>
    </row>
    <row r="20" ht="18.75" customHeight="1" s="29">
      <c r="A20" s="53" t="n"/>
      <c r="C20" s="54" t="n"/>
      <c r="D20" s="50" t="inlineStr">
        <is>
          <t>2월</t>
        </is>
      </c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2" t="n"/>
      <c r="X20" s="51" t="n"/>
      <c r="Y20" s="51" t="n"/>
      <c r="Z20" s="41" t="n"/>
    </row>
    <row r="21" ht="18.75" customHeight="1" s="29">
      <c r="A21" s="53" t="n"/>
      <c r="C21" s="54" t="n"/>
      <c r="D21" s="50" t="inlineStr">
        <is>
          <t>3월</t>
        </is>
      </c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2" t="n"/>
      <c r="X21" s="51" t="n"/>
      <c r="Y21" s="51" t="n"/>
      <c r="Z21" s="41" t="n"/>
    </row>
    <row r="22" ht="18.75" customHeight="1" s="29">
      <c r="A22" s="53" t="n"/>
      <c r="C22" s="54" t="n"/>
      <c r="D22" s="50" t="inlineStr">
        <is>
          <t>4월</t>
        </is>
      </c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2" t="n"/>
      <c r="X22" s="51" t="n"/>
      <c r="Y22" s="51" t="n"/>
      <c r="Z22" s="41" t="n"/>
    </row>
    <row r="23" ht="18.75" customHeight="1" s="29">
      <c r="A23" s="53" t="n"/>
      <c r="C23" s="54" t="n"/>
      <c r="D23" s="50" t="inlineStr">
        <is>
          <t>5월</t>
        </is>
      </c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2" t="n"/>
      <c r="X23" s="51" t="n"/>
      <c r="Y23" s="51" t="n"/>
      <c r="Z23" s="41" t="n"/>
    </row>
    <row r="24" ht="18.75" customHeight="1" s="29">
      <c r="A24" s="53" t="n"/>
      <c r="C24" s="54" t="n"/>
      <c r="D24" s="50" t="inlineStr">
        <is>
          <t>6월</t>
        </is>
      </c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2" t="n"/>
      <c r="X24" s="51" t="n"/>
      <c r="Y24" s="51" t="n"/>
      <c r="Z24" s="41" t="n"/>
    </row>
    <row r="25" ht="18.75" customHeight="1" s="29">
      <c r="A25" s="53" t="n"/>
      <c r="C25" s="54" t="n"/>
      <c r="D25" s="50" t="inlineStr">
        <is>
          <t>7월</t>
        </is>
      </c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2" t="n"/>
      <c r="X25" s="51" t="n"/>
      <c r="Y25" s="51" t="n"/>
      <c r="Z25" s="41" t="n"/>
    </row>
    <row r="26" ht="18.75" customHeight="1" s="29">
      <c r="A26" s="53" t="n"/>
      <c r="C26" s="54" t="n"/>
      <c r="D26" s="50" t="inlineStr">
        <is>
          <t>8월</t>
        </is>
      </c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2" t="n"/>
      <c r="X26" s="51" t="n"/>
      <c r="Y26" s="51" t="n"/>
      <c r="Z26" s="41" t="n"/>
    </row>
    <row r="27" ht="18.75" customHeight="1" s="29">
      <c r="A27" s="53" t="n"/>
      <c r="C27" s="54" t="n"/>
      <c r="D27" s="50" t="inlineStr">
        <is>
          <t>9월</t>
        </is>
      </c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2" t="n"/>
      <c r="X27" s="51" t="n"/>
      <c r="Y27" s="51" t="n"/>
      <c r="Z27" s="41" t="n"/>
    </row>
    <row r="28" ht="18.75" customHeight="1" s="29">
      <c r="A28" s="53" t="n"/>
      <c r="C28" s="54" t="n"/>
      <c r="D28" s="50" t="inlineStr">
        <is>
          <t>10월</t>
        </is>
      </c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2" t="n"/>
      <c r="X28" s="51" t="n"/>
      <c r="Y28" s="51" t="n"/>
      <c r="Z28" s="41" t="n"/>
    </row>
    <row r="29" ht="18.75" customHeight="1" s="29">
      <c r="A29" s="53" t="n"/>
      <c r="C29" s="54" t="n"/>
      <c r="D29" s="50" t="inlineStr">
        <is>
          <t>11월</t>
        </is>
      </c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2" t="n"/>
      <c r="X29" s="51" t="n"/>
      <c r="Y29" s="51" t="n"/>
      <c r="Z29" s="41" t="n"/>
    </row>
    <row r="30" ht="18.75" customHeight="1" s="29">
      <c r="A30" s="55" t="n"/>
      <c r="B30" s="56" t="n"/>
      <c r="C30" s="57" t="n"/>
      <c r="D30" s="50" t="inlineStr">
        <is>
          <t>12월</t>
        </is>
      </c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2" t="n"/>
      <c r="X30" s="51" t="n"/>
      <c r="Y30" s="51" t="n"/>
      <c r="Z30" s="41" t="n"/>
    </row>
    <row r="31" ht="15" customHeight="1" s="29">
      <c r="A31" s="58" t="inlineStr">
        <is>
          <t>양산 소계</t>
        </is>
      </c>
      <c r="B31" s="39" t="n"/>
      <c r="C31" s="39" t="n"/>
      <c r="D31" s="38" t="n"/>
      <c r="E31" s="59">
        <f>SUM(E5:E18)</f>
        <v/>
      </c>
      <c r="F31" s="59" t="n"/>
      <c r="G31" s="59" t="n"/>
      <c r="H31" s="59" t="n"/>
      <c r="I31" s="59" t="n"/>
      <c r="J31" s="59" t="n"/>
      <c r="K31" s="59">
        <f>SUM(K5:K18)</f>
        <v/>
      </c>
      <c r="L31" s="59" t="n"/>
      <c r="M31" s="59">
        <f>SUM(M5:M18)</f>
        <v/>
      </c>
      <c r="N31" s="59" t="n"/>
      <c r="O31" s="59">
        <f>SUM(O5:O18)</f>
        <v/>
      </c>
      <c r="P31" s="59" t="n"/>
      <c r="Q31" s="59">
        <f>SUM(Q5:Q18)</f>
        <v/>
      </c>
      <c r="R31" s="59" t="n"/>
      <c r="S31" s="59" t="n"/>
      <c r="T31" s="59">
        <f>SUM(T5:T18)</f>
        <v/>
      </c>
      <c r="U31" s="59" t="n"/>
      <c r="V31" s="59" t="n"/>
      <c r="W31" s="60">
        <f>SUM(W5:W18)</f>
        <v/>
      </c>
      <c r="X31" s="59">
        <f>SUM(X5:X18)</f>
        <v/>
      </c>
      <c r="Y31" s="59">
        <f>SUM(Y5:Y18)</f>
        <v/>
      </c>
      <c r="Z31" s="41" t="n"/>
    </row>
    <row r="32" ht="15" customHeight="1" s="29">
      <c r="A32" s="49" t="inlineStr">
        <is>
          <t>개발</t>
        </is>
      </c>
      <c r="B32" s="50" t="n">
        <v>2000</v>
      </c>
      <c r="C32" s="50" t="inlineStr">
        <is>
          <t>8.15"</t>
        </is>
      </c>
      <c r="D32" s="50" t="inlineStr">
        <is>
          <t>Global</t>
        </is>
      </c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2" t="n"/>
      <c r="X32" s="51" t="n"/>
      <c r="Y32" s="51" t="n"/>
      <c r="Z32" s="41" t="n"/>
    </row>
    <row r="33" ht="18.75" customHeight="1" s="29">
      <c r="A33" s="50" t="n"/>
      <c r="B33" s="45" t="n"/>
      <c r="C33" s="46" t="n"/>
      <c r="D33" s="50" t="inlineStr">
        <is>
          <t>1월</t>
        </is>
      </c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2" t="n"/>
      <c r="X33" s="51" t="n"/>
      <c r="Y33" s="51" t="n"/>
      <c r="Z33" s="41" t="n"/>
    </row>
    <row r="34" ht="18.75" customHeight="1" s="29">
      <c r="A34" s="53" t="n"/>
      <c r="C34" s="54" t="n"/>
      <c r="D34" s="50" t="inlineStr">
        <is>
          <t>2월</t>
        </is>
      </c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2" t="n"/>
      <c r="X34" s="51" t="n"/>
      <c r="Y34" s="51" t="n"/>
      <c r="Z34" s="41" t="n"/>
    </row>
    <row r="35" ht="18.75" customHeight="1" s="29">
      <c r="A35" s="53" t="n"/>
      <c r="C35" s="54" t="n"/>
      <c r="D35" s="50" t="inlineStr">
        <is>
          <t>3월</t>
        </is>
      </c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2" t="n"/>
      <c r="X35" s="51" t="n"/>
      <c r="Y35" s="51" t="n"/>
      <c r="Z35" s="41" t="n"/>
    </row>
    <row r="36" ht="18.75" customHeight="1" s="29">
      <c r="A36" s="53" t="n"/>
      <c r="C36" s="54" t="n"/>
      <c r="D36" s="50" t="inlineStr">
        <is>
          <t>4월</t>
        </is>
      </c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2" t="n"/>
      <c r="X36" s="51" t="n"/>
      <c r="Y36" s="51" t="n"/>
      <c r="Z36" s="41" t="n"/>
    </row>
    <row r="37" ht="18.75" customHeight="1" s="29">
      <c r="A37" s="53" t="n"/>
      <c r="C37" s="54" t="n"/>
      <c r="D37" s="50" t="inlineStr">
        <is>
          <t>5월</t>
        </is>
      </c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2" t="n"/>
      <c r="X37" s="51" t="n"/>
      <c r="Y37" s="51" t="n"/>
      <c r="Z37" s="41" t="n"/>
    </row>
    <row r="38" ht="18.75" customHeight="1" s="29">
      <c r="A38" s="53" t="n"/>
      <c r="C38" s="54" t="n"/>
      <c r="D38" s="50" t="inlineStr">
        <is>
          <t>6월</t>
        </is>
      </c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2" t="n"/>
      <c r="X38" s="51" t="n"/>
      <c r="Y38" s="51" t="n"/>
      <c r="Z38" s="41" t="n"/>
    </row>
    <row r="39" ht="18.75" customHeight="1" s="29">
      <c r="A39" s="53" t="n"/>
      <c r="C39" s="54" t="n"/>
      <c r="D39" s="50" t="inlineStr">
        <is>
          <t>7월</t>
        </is>
      </c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2" t="n"/>
      <c r="X39" s="51" t="n"/>
      <c r="Y39" s="51" t="n"/>
      <c r="Z39" s="41" t="n"/>
    </row>
    <row r="40" ht="18.75" customHeight="1" s="29">
      <c r="A40" s="53" t="n"/>
      <c r="C40" s="54" t="n"/>
      <c r="D40" s="50" t="inlineStr">
        <is>
          <t>8월</t>
        </is>
      </c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2" t="n"/>
      <c r="X40" s="51" t="n"/>
      <c r="Y40" s="51" t="n"/>
      <c r="Z40" s="41" t="n"/>
    </row>
    <row r="41" ht="18.75" customHeight="1" s="29">
      <c r="A41" s="53" t="n"/>
      <c r="C41" s="54" t="n"/>
      <c r="D41" s="50" t="inlineStr">
        <is>
          <t>9월</t>
        </is>
      </c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2" t="n"/>
      <c r="X41" s="51" t="n"/>
      <c r="Y41" s="51" t="n"/>
      <c r="Z41" s="41" t="n"/>
    </row>
    <row r="42" ht="18.75" customHeight="1" s="29">
      <c r="A42" s="53" t="n"/>
      <c r="C42" s="54" t="n"/>
      <c r="D42" s="50" t="inlineStr">
        <is>
          <t>10월</t>
        </is>
      </c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2" t="n"/>
      <c r="X42" s="51" t="n"/>
      <c r="Y42" s="51" t="n"/>
      <c r="Z42" s="41" t="n"/>
    </row>
    <row r="43" ht="18.75" customHeight="1" s="29">
      <c r="A43" s="53" t="n"/>
      <c r="C43" s="54" t="n"/>
      <c r="D43" s="50" t="inlineStr">
        <is>
          <t>11월</t>
        </is>
      </c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2" t="n"/>
      <c r="X43" s="51" t="n"/>
      <c r="Y43" s="51" t="n"/>
      <c r="Z43" s="41" t="n"/>
    </row>
    <row r="44" ht="18.75" customHeight="1" s="29">
      <c r="A44" s="55" t="n"/>
      <c r="B44" s="56" t="n"/>
      <c r="C44" s="57" t="n"/>
      <c r="D44" s="50" t="inlineStr">
        <is>
          <t>12월</t>
        </is>
      </c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2" t="n"/>
      <c r="X44" s="51" t="n"/>
      <c r="Y44" s="51" t="n"/>
      <c r="Z44" s="41" t="n"/>
    </row>
    <row r="45" ht="18.75" customHeight="1" s="29">
      <c r="A45" s="49" t="inlineStr">
        <is>
          <t>개발</t>
        </is>
      </c>
      <c r="B45" s="50" t="n">
        <v>2200</v>
      </c>
      <c r="C45" s="50" t="inlineStr">
        <is>
          <t>9.00"</t>
        </is>
      </c>
      <c r="D45" s="50" t="inlineStr">
        <is>
          <t>P社</t>
        </is>
      </c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2" t="n"/>
      <c r="X45" s="51" t="n"/>
      <c r="Y45" s="51" t="n"/>
      <c r="Z45" s="41" t="n"/>
    </row>
    <row r="46" ht="18.75" customHeight="1" s="29">
      <c r="A46" s="50" t="n"/>
      <c r="B46" s="45" t="n"/>
      <c r="C46" s="46" t="n"/>
      <c r="D46" s="50" t="inlineStr">
        <is>
          <t>1월</t>
        </is>
      </c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2" t="n"/>
      <c r="X46" s="51" t="n"/>
      <c r="Y46" s="51" t="n"/>
      <c r="Z46" s="41" t="n"/>
    </row>
    <row r="47" ht="18.75" customHeight="1" s="29">
      <c r="A47" s="53" t="n"/>
      <c r="C47" s="54" t="n"/>
      <c r="D47" s="50" t="inlineStr">
        <is>
          <t>2월</t>
        </is>
      </c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2" t="n"/>
      <c r="X47" s="51" t="n"/>
      <c r="Y47" s="51" t="n"/>
      <c r="Z47" s="41" t="n"/>
    </row>
    <row r="48" ht="18.75" customHeight="1" s="29">
      <c r="A48" s="53" t="n"/>
      <c r="C48" s="54" t="n"/>
      <c r="D48" s="50" t="inlineStr">
        <is>
          <t>3월</t>
        </is>
      </c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2" t="n"/>
      <c r="X48" s="51" t="n"/>
      <c r="Y48" s="51" t="n"/>
      <c r="Z48" s="41" t="n"/>
    </row>
    <row r="49" ht="18.75" customHeight="1" s="29">
      <c r="A49" s="53" t="n"/>
      <c r="C49" s="54" t="n"/>
      <c r="D49" s="50" t="inlineStr">
        <is>
          <t>4월</t>
        </is>
      </c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2" t="n"/>
      <c r="X49" s="51" t="n"/>
      <c r="Y49" s="51" t="n"/>
      <c r="Z49" s="41" t="n"/>
    </row>
    <row r="50" ht="18.75" customHeight="1" s="29">
      <c r="A50" s="53" t="n"/>
      <c r="C50" s="54" t="n"/>
      <c r="D50" s="50" t="inlineStr">
        <is>
          <t>5월</t>
        </is>
      </c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2" t="n"/>
      <c r="X50" s="51" t="n"/>
      <c r="Y50" s="51" t="n"/>
      <c r="Z50" s="41" t="n"/>
    </row>
    <row r="51" ht="18.75" customHeight="1" s="29">
      <c r="A51" s="53" t="n"/>
      <c r="C51" s="54" t="n"/>
      <c r="D51" s="50" t="inlineStr">
        <is>
          <t>6월</t>
        </is>
      </c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2" t="n"/>
      <c r="X51" s="51" t="n"/>
      <c r="Y51" s="51" t="n"/>
      <c r="Z51" s="41" t="n"/>
    </row>
    <row r="52" ht="18.75" customHeight="1" s="29">
      <c r="A52" s="53" t="n"/>
      <c r="C52" s="54" t="n"/>
      <c r="D52" s="50" t="inlineStr">
        <is>
          <t>7월</t>
        </is>
      </c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2" t="n"/>
      <c r="X52" s="51" t="n"/>
      <c r="Y52" s="51" t="n"/>
      <c r="Z52" s="41" t="n"/>
    </row>
    <row r="53" ht="18.75" customHeight="1" s="29">
      <c r="A53" s="53" t="n"/>
      <c r="C53" s="54" t="n"/>
      <c r="D53" s="50" t="inlineStr">
        <is>
          <t>8월</t>
        </is>
      </c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2" t="n"/>
      <c r="X53" s="51" t="n"/>
      <c r="Y53" s="51" t="n"/>
      <c r="Z53" s="41" t="n"/>
    </row>
    <row r="54" ht="18.75" customHeight="1" s="29">
      <c r="A54" s="53" t="n"/>
      <c r="C54" s="54" t="n"/>
      <c r="D54" s="50" t="inlineStr">
        <is>
          <t>9월</t>
        </is>
      </c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2" t="n"/>
      <c r="X54" s="51" t="n"/>
      <c r="Y54" s="51" t="n"/>
      <c r="Z54" s="41" t="n"/>
    </row>
    <row r="55" ht="18.75" customHeight="1" s="29">
      <c r="A55" s="53" t="n"/>
      <c r="C55" s="54" t="n"/>
      <c r="D55" s="50" t="inlineStr">
        <is>
          <t>10월</t>
        </is>
      </c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2" t="n"/>
      <c r="X55" s="51" t="n"/>
      <c r="Y55" s="51" t="n"/>
      <c r="Z55" s="41" t="n"/>
    </row>
    <row r="56" ht="18.75" customHeight="1" s="29">
      <c r="A56" s="53" t="n"/>
      <c r="C56" s="54" t="n"/>
      <c r="D56" s="50" t="inlineStr">
        <is>
          <t>11월</t>
        </is>
      </c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2" t="n"/>
      <c r="X56" s="51" t="n"/>
      <c r="Y56" s="51" t="n"/>
      <c r="Z56" s="41" t="n"/>
    </row>
    <row r="57" ht="18.75" customHeight="1" s="29">
      <c r="A57" s="55" t="n"/>
      <c r="B57" s="56" t="n"/>
      <c r="C57" s="57" t="n"/>
      <c r="D57" s="50" t="inlineStr">
        <is>
          <t>12월</t>
        </is>
      </c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2" t="n"/>
      <c r="X57" s="51" t="n"/>
      <c r="Y57" s="51" t="n"/>
      <c r="Z57" s="41" t="n"/>
    </row>
    <row r="58" ht="15" customHeight="1" s="29">
      <c r="A58" s="58" t="inlineStr">
        <is>
          <t>개발 소계</t>
        </is>
      </c>
      <c r="B58" s="39" t="n"/>
      <c r="C58" s="39" t="n"/>
      <c r="D58" s="38" t="n"/>
      <c r="E58" s="59">
        <f>SUM(E32:E45)</f>
        <v/>
      </c>
      <c r="F58" s="59" t="n"/>
      <c r="G58" s="59" t="n"/>
      <c r="H58" s="59" t="n"/>
      <c r="I58" s="59" t="n"/>
      <c r="J58" s="59" t="n"/>
      <c r="K58" s="59">
        <f>SUM(K32:K45)</f>
        <v/>
      </c>
      <c r="L58" s="59" t="n"/>
      <c r="M58" s="59">
        <f>SUM(M32:M45)</f>
        <v/>
      </c>
      <c r="N58" s="59" t="n"/>
      <c r="O58" s="59">
        <f>SUM(O32:O45)</f>
        <v/>
      </c>
      <c r="P58" s="59" t="n"/>
      <c r="Q58" s="59">
        <f>SUM(Q32:Q45)</f>
        <v/>
      </c>
      <c r="R58" s="59" t="n"/>
      <c r="S58" s="59" t="n"/>
      <c r="T58" s="59">
        <f>SUM(T32:T45)</f>
        <v/>
      </c>
      <c r="U58" s="59" t="n"/>
      <c r="V58" s="59" t="n"/>
      <c r="W58" s="60">
        <f>SUM(W32:W45)</f>
        <v/>
      </c>
      <c r="X58" s="59">
        <f>SUM(X32:X45)</f>
        <v/>
      </c>
      <c r="Y58" s="59">
        <f>SUM(Y32:Y45)</f>
        <v/>
      </c>
      <c r="Z58" s="41" t="n"/>
    </row>
    <row r="59" ht="15" customHeight="1" s="29">
      <c r="A59" s="49" t="inlineStr">
        <is>
          <t>카세트</t>
        </is>
      </c>
      <c r="B59" s="50" t="inlineStr">
        <is>
          <t>VN813P01</t>
        </is>
      </c>
      <c r="C59" s="50" t="n">
        <v>0</v>
      </c>
      <c r="D59" s="50" t="inlineStr">
        <is>
          <t>VINA</t>
        </is>
      </c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60" t="n"/>
      <c r="X59" s="59" t="n"/>
      <c r="Y59" s="59" t="n"/>
      <c r="Z59" s="41" t="n"/>
    </row>
    <row r="60" ht="18.75" customHeight="1" s="29">
      <c r="A60" s="50" t="n"/>
      <c r="B60" s="45" t="n"/>
      <c r="C60" s="46" t="n"/>
      <c r="D60" s="50" t="inlineStr">
        <is>
          <t>1월</t>
        </is>
      </c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2" t="n"/>
      <c r="X60" s="51" t="n"/>
      <c r="Y60" s="51" t="n"/>
      <c r="Z60" s="41" t="n"/>
    </row>
    <row r="61" ht="18.75" customHeight="1" s="29">
      <c r="A61" s="53" t="n"/>
      <c r="C61" s="54" t="n"/>
      <c r="D61" s="50" t="inlineStr">
        <is>
          <t>2월</t>
        </is>
      </c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2" t="n"/>
      <c r="X61" s="51" t="n"/>
      <c r="Y61" s="51" t="n"/>
      <c r="Z61" s="41" t="n"/>
    </row>
    <row r="62" ht="18.75" customHeight="1" s="29">
      <c r="A62" s="53" t="n"/>
      <c r="C62" s="54" t="n"/>
      <c r="D62" s="50" t="inlineStr">
        <is>
          <t>3월</t>
        </is>
      </c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2" t="n"/>
      <c r="X62" s="51" t="n"/>
      <c r="Y62" s="51" t="n"/>
      <c r="Z62" s="41" t="n"/>
    </row>
    <row r="63" ht="18.75" customHeight="1" s="29">
      <c r="A63" s="53" t="n"/>
      <c r="C63" s="54" t="n"/>
      <c r="D63" s="50" t="inlineStr">
        <is>
          <t>4월</t>
        </is>
      </c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2" t="n"/>
      <c r="X63" s="51" t="n"/>
      <c r="Y63" s="51" t="n"/>
      <c r="Z63" s="41" t="n"/>
    </row>
    <row r="64" ht="18.75" customHeight="1" s="29">
      <c r="A64" s="53" t="n"/>
      <c r="C64" s="54" t="n"/>
      <c r="D64" s="50" t="inlineStr">
        <is>
          <t>5월</t>
        </is>
      </c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2" t="n"/>
      <c r="X64" s="51" t="n"/>
      <c r="Y64" s="51" t="n"/>
      <c r="Z64" s="41" t="n"/>
    </row>
    <row r="65" ht="18.75" customHeight="1" s="29">
      <c r="A65" s="53" t="n"/>
      <c r="C65" s="54" t="n"/>
      <c r="D65" s="50" t="inlineStr">
        <is>
          <t>6월</t>
        </is>
      </c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2" t="n"/>
      <c r="X65" s="51" t="n"/>
      <c r="Y65" s="51" t="n"/>
      <c r="Z65" s="41" t="n"/>
    </row>
    <row r="66" ht="18.75" customHeight="1" s="29">
      <c r="A66" s="53" t="n"/>
      <c r="C66" s="54" t="n"/>
      <c r="D66" s="50" t="inlineStr">
        <is>
          <t>7월</t>
        </is>
      </c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2" t="n"/>
      <c r="X66" s="51" t="n"/>
      <c r="Y66" s="51" t="n"/>
      <c r="Z66" s="41" t="n"/>
    </row>
    <row r="67" ht="18.75" customHeight="1" s="29">
      <c r="A67" s="53" t="n"/>
      <c r="C67" s="54" t="n"/>
      <c r="D67" s="50" t="inlineStr">
        <is>
          <t>8월</t>
        </is>
      </c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2" t="n"/>
      <c r="X67" s="51" t="n"/>
      <c r="Y67" s="51" t="n"/>
      <c r="Z67" s="41" t="n"/>
    </row>
    <row r="68" ht="18.75" customHeight="1" s="29">
      <c r="A68" s="53" t="n"/>
      <c r="C68" s="54" t="n"/>
      <c r="D68" s="50" t="inlineStr">
        <is>
          <t>9월</t>
        </is>
      </c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2" t="n"/>
      <c r="X68" s="51" t="n"/>
      <c r="Y68" s="51" t="n"/>
      <c r="Z68" s="41" t="n"/>
    </row>
    <row r="69" ht="18.75" customHeight="1" s="29">
      <c r="A69" s="53" t="n"/>
      <c r="C69" s="54" t="n"/>
      <c r="D69" s="50" t="inlineStr">
        <is>
          <t>10월</t>
        </is>
      </c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2" t="n"/>
      <c r="X69" s="51" t="n"/>
      <c r="Y69" s="51" t="n"/>
      <c r="Z69" s="41" t="n"/>
    </row>
    <row r="70" ht="18.75" customHeight="1" s="29">
      <c r="A70" s="53" t="n"/>
      <c r="C70" s="54" t="n"/>
      <c r="D70" s="50" t="inlineStr">
        <is>
          <t>11월</t>
        </is>
      </c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2" t="n"/>
      <c r="X70" s="51" t="n"/>
      <c r="Y70" s="51" t="n"/>
      <c r="Z70" s="41" t="n"/>
    </row>
    <row r="71" ht="18.75" customHeight="1" s="29">
      <c r="A71" s="55" t="n"/>
      <c r="B71" s="56" t="n"/>
      <c r="C71" s="57" t="n"/>
      <c r="D71" s="50" t="inlineStr">
        <is>
          <t>12월</t>
        </is>
      </c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2" t="n"/>
      <c r="X71" s="51" t="n"/>
      <c r="Y71" s="51" t="n"/>
      <c r="Z71" s="41" t="n"/>
    </row>
    <row r="72" ht="15" customHeight="1" s="29">
      <c r="A72" s="49" t="inlineStr">
        <is>
          <t>카세트</t>
        </is>
      </c>
      <c r="B72" s="50" t="inlineStr">
        <is>
          <t>VN800P0</t>
        </is>
      </c>
      <c r="C72" s="50" t="n">
        <v>0</v>
      </c>
      <c r="D72" s="50" t="inlineStr">
        <is>
          <t>VINA</t>
        </is>
      </c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60" t="n"/>
      <c r="X72" s="59" t="n"/>
      <c r="Y72" s="59" t="n"/>
      <c r="Z72" s="41" t="n"/>
    </row>
    <row r="73" ht="18.75" customHeight="1" s="29">
      <c r="A73" s="50" t="n"/>
      <c r="B73" s="45" t="n"/>
      <c r="C73" s="46" t="n"/>
      <c r="D73" s="50" t="inlineStr">
        <is>
          <t>1월</t>
        </is>
      </c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2" t="n"/>
      <c r="X73" s="51" t="n"/>
      <c r="Y73" s="51" t="n"/>
      <c r="Z73" s="41" t="n"/>
    </row>
    <row r="74" ht="18.75" customHeight="1" s="29">
      <c r="A74" s="53" t="n"/>
      <c r="C74" s="54" t="n"/>
      <c r="D74" s="50" t="inlineStr">
        <is>
          <t>2월</t>
        </is>
      </c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2" t="n"/>
      <c r="X74" s="51" t="n"/>
      <c r="Y74" s="51" t="n"/>
      <c r="Z74" s="41" t="n"/>
    </row>
    <row r="75" ht="18.75" customHeight="1" s="29">
      <c r="A75" s="53" t="n"/>
      <c r="C75" s="54" t="n"/>
      <c r="D75" s="50" t="inlineStr">
        <is>
          <t>3월</t>
        </is>
      </c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2" t="n"/>
      <c r="X75" s="51" t="n"/>
      <c r="Y75" s="51" t="n"/>
      <c r="Z75" s="41" t="n"/>
    </row>
    <row r="76" ht="18.75" customHeight="1" s="29">
      <c r="A76" s="53" t="n"/>
      <c r="C76" s="54" t="n"/>
      <c r="D76" s="50" t="inlineStr">
        <is>
          <t>4월</t>
        </is>
      </c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2" t="n"/>
      <c r="X76" s="51" t="n"/>
      <c r="Y76" s="51" t="n"/>
      <c r="Z76" s="41" t="n"/>
    </row>
    <row r="77" ht="18.75" customHeight="1" s="29">
      <c r="A77" s="53" t="n"/>
      <c r="C77" s="54" t="n"/>
      <c r="D77" s="50" t="inlineStr">
        <is>
          <t>5월</t>
        </is>
      </c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2" t="n"/>
      <c r="X77" s="51" t="n"/>
      <c r="Y77" s="51" t="n"/>
      <c r="Z77" s="41" t="n"/>
    </row>
    <row r="78" ht="18.75" customHeight="1" s="29">
      <c r="A78" s="53" t="n"/>
      <c r="C78" s="54" t="n"/>
      <c r="D78" s="50" t="inlineStr">
        <is>
          <t>6월</t>
        </is>
      </c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2" t="n"/>
      <c r="X78" s="51" t="n"/>
      <c r="Y78" s="51" t="n"/>
      <c r="Z78" s="41" t="n"/>
    </row>
    <row r="79" ht="18.75" customHeight="1" s="29">
      <c r="A79" s="53" t="n"/>
      <c r="C79" s="54" t="n"/>
      <c r="D79" s="50" t="inlineStr">
        <is>
          <t>7월</t>
        </is>
      </c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2" t="n"/>
      <c r="X79" s="51" t="n"/>
      <c r="Y79" s="51" t="n"/>
      <c r="Z79" s="41" t="n"/>
    </row>
    <row r="80" ht="18.75" customHeight="1" s="29">
      <c r="A80" s="53" t="n"/>
      <c r="C80" s="54" t="n"/>
      <c r="D80" s="50" t="inlineStr">
        <is>
          <t>8월</t>
        </is>
      </c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2" t="n"/>
      <c r="X80" s="51" t="n"/>
      <c r="Y80" s="51" t="n"/>
      <c r="Z80" s="41" t="n"/>
    </row>
    <row r="81" ht="18.75" customHeight="1" s="29">
      <c r="A81" s="53" t="n"/>
      <c r="C81" s="54" t="n"/>
      <c r="D81" s="50" t="inlineStr">
        <is>
          <t>9월</t>
        </is>
      </c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2" t="n"/>
      <c r="X81" s="51" t="n"/>
      <c r="Y81" s="51" t="n"/>
      <c r="Z81" s="41" t="n"/>
    </row>
    <row r="82" ht="18.75" customHeight="1" s="29">
      <c r="A82" s="53" t="n"/>
      <c r="C82" s="54" t="n"/>
      <c r="D82" s="50" t="inlineStr">
        <is>
          <t>10월</t>
        </is>
      </c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2" t="n"/>
      <c r="X82" s="51" t="n"/>
      <c r="Y82" s="51" t="n"/>
      <c r="Z82" s="41" t="n"/>
    </row>
    <row r="83" ht="18.75" customHeight="1" s="29">
      <c r="A83" s="53" t="n"/>
      <c r="C83" s="54" t="n"/>
      <c r="D83" s="50" t="inlineStr">
        <is>
          <t>11월</t>
        </is>
      </c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2" t="n"/>
      <c r="X83" s="51" t="n"/>
      <c r="Y83" s="51" t="n"/>
      <c r="Z83" s="41" t="n"/>
    </row>
    <row r="84" ht="18.75" customHeight="1" s="29">
      <c r="A84" s="55" t="n"/>
      <c r="B84" s="56" t="n"/>
      <c r="C84" s="57" t="n"/>
      <c r="D84" s="50" t="inlineStr">
        <is>
          <t>12월</t>
        </is>
      </c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2" t="n"/>
      <c r="X84" s="51" t="n"/>
      <c r="Y84" s="51" t="n"/>
      <c r="Z84" s="41" t="n"/>
    </row>
    <row r="85" ht="15" customHeight="1" s="29">
      <c r="A85" s="58" t="inlineStr">
        <is>
          <t>카세트 소계</t>
        </is>
      </c>
      <c r="B85" s="39" t="n"/>
      <c r="C85" s="39" t="n"/>
      <c r="D85" s="38" t="n"/>
      <c r="E85" s="59">
        <f>SUM(E59:E72)</f>
        <v/>
      </c>
      <c r="F85" s="59" t="n"/>
      <c r="G85" s="59" t="n"/>
      <c r="H85" s="59" t="n"/>
      <c r="I85" s="59" t="n"/>
      <c r="J85" s="59" t="n"/>
      <c r="K85" s="59">
        <f>SUM(K59:K72)</f>
        <v/>
      </c>
      <c r="L85" s="59" t="n"/>
      <c r="M85" s="59">
        <f>SUM(M59:M72)</f>
        <v/>
      </c>
      <c r="N85" s="59" t="n"/>
      <c r="O85" s="59">
        <f>SUM(O59:O72)</f>
        <v/>
      </c>
      <c r="P85" s="59" t="n"/>
      <c r="Q85" s="59">
        <f>SUM(Q59:Q72)</f>
        <v/>
      </c>
      <c r="R85" s="59" t="n"/>
      <c r="S85" s="59" t="n"/>
      <c r="T85" s="59">
        <f>SUM(T59:T72)</f>
        <v/>
      </c>
      <c r="U85" s="59" t="n"/>
      <c r="V85" s="59" t="n"/>
      <c r="W85" s="60">
        <f>SUM(W59:W72)</f>
        <v/>
      </c>
      <c r="X85" s="59">
        <f>SUM(X59:X72)</f>
        <v/>
      </c>
      <c r="Y85" s="59">
        <f>SUM(Y59:Y72)</f>
        <v/>
      </c>
      <c r="Z85" s="41" t="n"/>
    </row>
    <row r="86" ht="15" customHeight="1" s="29">
      <c r="A86" s="58" t="inlineStr">
        <is>
          <t>SITE 別 합계</t>
        </is>
      </c>
      <c r="B86" s="58" t="inlineStr">
        <is>
          <t>MX</t>
        </is>
      </c>
      <c r="C86" s="39" t="n"/>
      <c r="D86" s="38" t="n"/>
      <c r="E86" s="61" t="n"/>
      <c r="F86" s="61" t="n"/>
      <c r="G86" s="61" t="n"/>
      <c r="H86" s="61" t="n"/>
      <c r="I86" s="61" t="n"/>
      <c r="J86" s="61" t="n"/>
      <c r="K86" s="61" t="n"/>
      <c r="L86" s="61" t="n"/>
      <c r="M86" s="61" t="n"/>
      <c r="N86" s="61" t="n"/>
      <c r="O86" s="61" t="n"/>
      <c r="P86" s="61" t="n"/>
      <c r="Q86" s="61" t="n"/>
      <c r="R86" s="61" t="n"/>
      <c r="S86" s="61" t="n"/>
      <c r="T86" s="61" t="n"/>
      <c r="U86" s="61" t="n"/>
      <c r="V86" s="61" t="n"/>
      <c r="W86" s="62" t="n"/>
      <c r="X86" s="61" t="n"/>
      <c r="Y86" s="61" t="n"/>
      <c r="Z86" s="41" t="n"/>
    </row>
    <row r="87" ht="15" customHeight="1" s="29">
      <c r="A87" s="63" t="n"/>
      <c r="B87" s="58" t="inlineStr">
        <is>
          <t>Global</t>
        </is>
      </c>
      <c r="C87" s="39" t="n"/>
      <c r="D87" s="38" t="n"/>
      <c r="E87" s="61" t="n"/>
      <c r="F87" s="61" t="n"/>
      <c r="G87" s="61" t="n"/>
      <c r="H87" s="61" t="n"/>
      <c r="I87" s="61" t="n"/>
      <c r="J87" s="61" t="n"/>
      <c r="K87" s="61" t="n"/>
      <c r="L87" s="61" t="n"/>
      <c r="M87" s="61" t="n"/>
      <c r="N87" s="61" t="n"/>
      <c r="O87" s="61" t="n"/>
      <c r="P87" s="61" t="n"/>
      <c r="Q87" s="61" t="n"/>
      <c r="R87" s="61" t="n"/>
      <c r="S87" s="61" t="n"/>
      <c r="T87" s="61" t="n"/>
      <c r="U87" s="61" t="n"/>
      <c r="V87" s="61" t="n"/>
      <c r="W87" s="62" t="n"/>
      <c r="X87" s="61" t="n"/>
      <c r="Y87" s="61" t="n"/>
      <c r="Z87" s="41" t="n"/>
    </row>
    <row r="88" ht="16.5" customHeight="1" s="29">
      <c r="A88" s="63" t="n"/>
      <c r="B88" s="58" t="inlineStr">
        <is>
          <t>P 社</t>
        </is>
      </c>
      <c r="C88" s="39" t="n"/>
      <c r="D88" s="38" t="n"/>
      <c r="E88" s="61" t="n"/>
      <c r="F88" s="61" t="n"/>
      <c r="G88" s="61" t="n"/>
      <c r="H88" s="61" t="n"/>
      <c r="I88" s="61" t="n"/>
      <c r="J88" s="61" t="n"/>
      <c r="K88" s="61" t="n"/>
      <c r="L88" s="61" t="n"/>
      <c r="M88" s="61" t="n"/>
      <c r="N88" s="61" t="n"/>
      <c r="O88" s="61" t="n"/>
      <c r="P88" s="61" t="n"/>
      <c r="Q88" s="61" t="n"/>
      <c r="R88" s="61" t="n"/>
      <c r="S88" s="61" t="n"/>
      <c r="T88" s="61" t="n"/>
      <c r="U88" s="61" t="n"/>
      <c r="V88" s="61" t="n"/>
      <c r="W88" s="62" t="n"/>
      <c r="X88" s="61" t="n"/>
      <c r="Y88" s="61" t="n"/>
      <c r="Z88" s="41" t="n"/>
    </row>
    <row r="89" ht="15" customHeight="1" s="29">
      <c r="A89" s="42" t="n"/>
      <c r="B89" s="58" t="inlineStr">
        <is>
          <t>기타</t>
        </is>
      </c>
      <c r="C89" s="39" t="n"/>
      <c r="D89" s="38" t="n"/>
      <c r="E89" s="61" t="n"/>
      <c r="F89" s="61" t="n"/>
      <c r="G89" s="61" t="n"/>
      <c r="H89" s="61" t="n"/>
      <c r="I89" s="61" t="n"/>
      <c r="J89" s="61" t="n"/>
      <c r="K89" s="61" t="n"/>
      <c r="L89" s="61" t="n"/>
      <c r="M89" s="61" t="n"/>
      <c r="N89" s="61" t="n"/>
      <c r="O89" s="61" t="n"/>
      <c r="P89" s="61" t="n"/>
      <c r="Q89" s="61" t="n"/>
      <c r="R89" s="61" t="n"/>
      <c r="S89" s="61" t="n"/>
      <c r="T89" s="61" t="n"/>
      <c r="U89" s="61" t="n"/>
      <c r="V89" s="61" t="n"/>
      <c r="W89" s="62" t="n"/>
      <c r="X89" s="61" t="n"/>
      <c r="Y89" s="61" t="n"/>
      <c r="Z89" s="41" t="n"/>
    </row>
  </sheetData>
  <mergeCells count="27">
    <mergeCell ref="A6:C17"/>
    <mergeCell ref="G2:H2"/>
    <mergeCell ref="X2:Y2"/>
    <mergeCell ref="A4:D4"/>
    <mergeCell ref="I2:J2"/>
    <mergeCell ref="B88:D88"/>
    <mergeCell ref="B2:B3"/>
    <mergeCell ref="D2:D3"/>
    <mergeCell ref="B87:D87"/>
    <mergeCell ref="A46:C57"/>
    <mergeCell ref="A33:C44"/>
    <mergeCell ref="A31:D31"/>
    <mergeCell ref="A58:D58"/>
    <mergeCell ref="A86:A89"/>
    <mergeCell ref="A2:A3"/>
    <mergeCell ref="C2:C3"/>
    <mergeCell ref="W2:W3"/>
    <mergeCell ref="B89:D89"/>
    <mergeCell ref="Q2:V2"/>
    <mergeCell ref="A19:C30"/>
    <mergeCell ref="E2:F2"/>
    <mergeCell ref="K2:L2"/>
    <mergeCell ref="M2:P2"/>
    <mergeCell ref="A73:C84"/>
    <mergeCell ref="A60:C71"/>
    <mergeCell ref="A85:D85"/>
    <mergeCell ref="B86:D86"/>
  </mergeCell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21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B1" activeCellId="0" sqref="B1"/>
    </sheetView>
  </sheetViews>
  <sheetFormatPr baseColWidth="8" defaultColWidth="8.50390625" defaultRowHeight="12.75" zeroHeight="0" outlineLevelRow="0"/>
  <cols>
    <col width="17.77" customWidth="1" style="28" min="5" max="5"/>
    <col width="17.64" customWidth="1" style="28" min="6" max="6"/>
  </cols>
  <sheetData>
    <row r="1" ht="15" customHeight="1" s="29">
      <c r="A1" s="30" t="inlineStr">
        <is>
          <t>yyyymm</t>
        </is>
      </c>
      <c r="B1" s="28" t="inlineStr">
        <is>
          <t>site</t>
        </is>
      </c>
      <c r="C1" s="28" t="inlineStr">
        <is>
          <t>sel_code</t>
        </is>
      </c>
      <c r="D1" s="28" t="inlineStr">
        <is>
          <t>model</t>
        </is>
      </c>
      <c r="E1" s="28" t="inlineStr">
        <is>
          <t>expen_sel</t>
        </is>
      </c>
      <c r="F1" s="28" t="inlineStr">
        <is>
          <t>expen_sel_name</t>
        </is>
      </c>
      <c r="G1" s="28" t="inlineStr">
        <is>
          <t>boh</t>
        </is>
      </c>
      <c r="H1" s="28" t="inlineStr">
        <is>
          <t>input</t>
        </is>
      </c>
      <c r="I1" s="28" t="inlineStr">
        <is>
          <t>out</t>
        </is>
      </c>
      <c r="J1" s="28" t="inlineStr">
        <is>
          <t>eoh</t>
        </is>
      </c>
      <c r="K1" s="28" t="inlineStr">
        <is>
          <t>boh_amt</t>
        </is>
      </c>
      <c r="L1" s="28" t="inlineStr">
        <is>
          <t>in_amt</t>
        </is>
      </c>
      <c r="M1" s="28" t="inlineStr">
        <is>
          <t>eoh_amt</t>
        </is>
      </c>
      <c r="N1" s="28" t="inlineStr">
        <is>
          <t>out_amt</t>
        </is>
      </c>
    </row>
    <row r="2" ht="19.4" customHeight="1" s="29">
      <c r="A2" s="28" t="inlineStr">
        <is>
          <t>202510</t>
        </is>
      </c>
      <c r="B2" s="28" t="inlineStr">
        <is>
          <t>HQ</t>
        </is>
      </c>
      <c r="C2" s="28" t="inlineStr">
        <is>
          <t>ACTUAL</t>
        </is>
      </c>
      <c r="D2" s="28" t="inlineStr">
        <is>
          <t>0201</t>
        </is>
      </c>
      <c r="E2" s="28" t="inlineStr">
        <is>
          <t>MCOM</t>
        </is>
      </c>
      <c r="F2" s="64" t="inlineStr">
        <is>
          <t>제)통신비</t>
        </is>
      </c>
      <c r="G2" s="28" t="n">
        <v>160</v>
      </c>
      <c r="H2" s="28" t="n">
        <v>0</v>
      </c>
      <c r="I2" s="28" t="n">
        <v>0</v>
      </c>
      <c r="J2" s="28" t="n">
        <v>160</v>
      </c>
      <c r="K2" s="28" t="n">
        <v>159</v>
      </c>
      <c r="L2" s="28" t="n">
        <v>0</v>
      </c>
      <c r="M2" s="28" t="n">
        <v>159</v>
      </c>
      <c r="N2" s="28" t="n">
        <v>0</v>
      </c>
    </row>
    <row r="3" ht="19.4" customHeight="1" s="29">
      <c r="A3" s="28" t="inlineStr">
        <is>
          <t>202510</t>
        </is>
      </c>
      <c r="B3" s="28" t="inlineStr">
        <is>
          <t>HQ</t>
        </is>
      </c>
      <c r="C3" s="28" t="inlineStr">
        <is>
          <t>ACTUAL</t>
        </is>
      </c>
      <c r="D3" s="28" t="inlineStr">
        <is>
          <t>0201</t>
        </is>
      </c>
      <c r="E3" s="28" t="inlineStr">
        <is>
          <t>MDEP</t>
        </is>
      </c>
      <c r="F3" s="64" t="inlineStr">
        <is>
          <t>제)감가상각비</t>
        </is>
      </c>
      <c r="G3" s="28" t="n">
        <v>160</v>
      </c>
      <c r="H3" s="28" t="n">
        <v>0</v>
      </c>
      <c r="I3" s="28" t="n">
        <v>0</v>
      </c>
      <c r="J3" s="28" t="n">
        <v>160</v>
      </c>
      <c r="K3" s="28" t="n">
        <v>1264542</v>
      </c>
      <c r="L3" s="28" t="n">
        <v>0</v>
      </c>
      <c r="M3" s="28" t="n">
        <v>1264542</v>
      </c>
      <c r="N3" s="28" t="n">
        <v>0</v>
      </c>
    </row>
    <row r="4" ht="19.4" customHeight="1" s="29">
      <c r="A4" s="28" t="inlineStr">
        <is>
          <t>202510</t>
        </is>
      </c>
      <c r="B4" s="28" t="inlineStr">
        <is>
          <t>HQ</t>
        </is>
      </c>
      <c r="C4" s="28" t="inlineStr">
        <is>
          <t>ACTUAL</t>
        </is>
      </c>
      <c r="D4" s="28" t="inlineStr">
        <is>
          <t>0201</t>
        </is>
      </c>
      <c r="E4" s="28" t="inlineStr">
        <is>
          <t>MEAL</t>
        </is>
      </c>
      <c r="F4" s="64" t="inlineStr">
        <is>
          <t>제)복리후생비-사내식대</t>
        </is>
      </c>
      <c r="G4" s="28" t="n">
        <v>160</v>
      </c>
      <c r="H4" s="28" t="n">
        <v>0</v>
      </c>
      <c r="I4" s="28" t="n">
        <v>0</v>
      </c>
      <c r="J4" s="28" t="n">
        <v>160</v>
      </c>
      <c r="K4" s="28" t="n">
        <v>83471</v>
      </c>
      <c r="L4" s="28" t="n">
        <v>0</v>
      </c>
      <c r="M4" s="28" t="n">
        <v>83471</v>
      </c>
      <c r="N4" s="28" t="n">
        <v>0</v>
      </c>
    </row>
    <row r="5" ht="19.4" customHeight="1" s="29">
      <c r="A5" s="28" t="inlineStr">
        <is>
          <t>202510</t>
        </is>
      </c>
      <c r="B5" s="28" t="inlineStr">
        <is>
          <t>HQ</t>
        </is>
      </c>
      <c r="C5" s="28" t="inlineStr">
        <is>
          <t>ACTUAL</t>
        </is>
      </c>
      <c r="D5" s="28" t="inlineStr">
        <is>
          <t>0201</t>
        </is>
      </c>
      <c r="E5" s="28" t="inlineStr">
        <is>
          <t>MELC</t>
        </is>
      </c>
      <c r="F5" s="64" t="inlineStr">
        <is>
          <t>제)전력비</t>
        </is>
      </c>
      <c r="G5" s="28" t="n">
        <v>160</v>
      </c>
      <c r="H5" s="28" t="n">
        <v>0</v>
      </c>
      <c r="I5" s="28" t="n">
        <v>0</v>
      </c>
      <c r="J5" s="28" t="n">
        <v>160</v>
      </c>
      <c r="K5" s="28" t="n">
        <v>1033047</v>
      </c>
      <c r="L5" s="28" t="n">
        <v>0</v>
      </c>
      <c r="M5" s="28" t="n">
        <v>1033047</v>
      </c>
      <c r="N5" s="28" t="n">
        <v>0</v>
      </c>
    </row>
    <row r="6" ht="19.4" customHeight="1" s="29">
      <c r="A6" s="28" t="inlineStr">
        <is>
          <t>202510</t>
        </is>
      </c>
      <c r="B6" s="28" t="inlineStr">
        <is>
          <t>HQ</t>
        </is>
      </c>
      <c r="C6" s="28" t="inlineStr">
        <is>
          <t>ACTUAL</t>
        </is>
      </c>
      <c r="D6" s="28" t="inlineStr">
        <is>
          <t>0201</t>
        </is>
      </c>
      <c r="E6" s="28" t="inlineStr">
        <is>
          <t>MEMP</t>
        </is>
      </c>
      <c r="F6" s="64" t="inlineStr">
        <is>
          <t>제)보험료-고용,산재보험</t>
        </is>
      </c>
      <c r="G6" s="28" t="n">
        <v>160</v>
      </c>
      <c r="H6" s="28" t="n">
        <v>0</v>
      </c>
      <c r="I6" s="28" t="n">
        <v>0</v>
      </c>
      <c r="J6" s="28" t="n">
        <v>160</v>
      </c>
      <c r="K6" s="28" t="n">
        <v>81603</v>
      </c>
      <c r="L6" s="28" t="n">
        <v>0</v>
      </c>
      <c r="M6" s="28" t="n">
        <v>81603</v>
      </c>
      <c r="N6" s="28" t="n">
        <v>0</v>
      </c>
    </row>
    <row r="7" ht="19.4" customHeight="1" s="29">
      <c r="A7" s="28" t="inlineStr">
        <is>
          <t>202510</t>
        </is>
      </c>
      <c r="B7" s="28" t="inlineStr">
        <is>
          <t>HQ</t>
        </is>
      </c>
      <c r="C7" s="28" t="inlineStr">
        <is>
          <t>ACTUAL</t>
        </is>
      </c>
      <c r="D7" s="28" t="inlineStr">
        <is>
          <t>0201</t>
        </is>
      </c>
      <c r="E7" s="28" t="inlineStr">
        <is>
          <t>MFEE</t>
        </is>
      </c>
      <c r="F7" s="64" t="inlineStr">
        <is>
          <t>제)지급수수료-기타</t>
        </is>
      </c>
      <c r="G7" s="28" t="n">
        <v>160</v>
      </c>
      <c r="H7" s="28" t="n">
        <v>0</v>
      </c>
      <c r="I7" s="28" t="n">
        <v>0</v>
      </c>
      <c r="J7" s="28" t="n">
        <v>160</v>
      </c>
      <c r="K7" s="28" t="n">
        <v>312607</v>
      </c>
      <c r="L7" s="28" t="n">
        <v>0</v>
      </c>
      <c r="M7" s="28" t="n">
        <v>312607</v>
      </c>
      <c r="N7" s="28" t="n">
        <v>0</v>
      </c>
    </row>
    <row r="8" ht="19.4" customHeight="1" s="29">
      <c r="A8" s="28" t="inlineStr">
        <is>
          <t>202510</t>
        </is>
      </c>
      <c r="B8" s="28" t="inlineStr">
        <is>
          <t>HQ</t>
        </is>
      </c>
      <c r="C8" s="28" t="inlineStr">
        <is>
          <t>ACTUAL</t>
        </is>
      </c>
      <c r="D8" s="28" t="inlineStr">
        <is>
          <t>0201</t>
        </is>
      </c>
      <c r="E8" s="28" t="inlineStr">
        <is>
          <t>MFUE</t>
        </is>
      </c>
      <c r="F8" s="64" t="inlineStr">
        <is>
          <t>제)차량유지비-유류비</t>
        </is>
      </c>
      <c r="G8" s="28" t="n">
        <v>160</v>
      </c>
      <c r="H8" s="28" t="n">
        <v>0</v>
      </c>
      <c r="I8" s="28" t="n">
        <v>0</v>
      </c>
      <c r="J8" s="28" t="n">
        <v>160</v>
      </c>
      <c r="K8" s="28" t="n">
        <v>5592</v>
      </c>
      <c r="L8" s="28" t="n">
        <v>0</v>
      </c>
      <c r="M8" s="28" t="n">
        <v>5592</v>
      </c>
      <c r="N8" s="28" t="n">
        <v>0</v>
      </c>
    </row>
    <row r="9" ht="19.4" customHeight="1" s="29">
      <c r="A9" s="28" t="inlineStr">
        <is>
          <t>202510</t>
        </is>
      </c>
      <c r="B9" s="28" t="inlineStr">
        <is>
          <t>HQ</t>
        </is>
      </c>
      <c r="C9" s="28" t="inlineStr">
        <is>
          <t>ACTUAL</t>
        </is>
      </c>
      <c r="D9" s="28" t="inlineStr">
        <is>
          <t>0201</t>
        </is>
      </c>
      <c r="E9" s="28" t="inlineStr">
        <is>
          <t>MHLT</t>
        </is>
      </c>
      <c r="F9" s="64" t="inlineStr">
        <is>
          <t>제)복리후생비-건강,장기요양보험</t>
        </is>
      </c>
      <c r="G9" s="28" t="n">
        <v>160</v>
      </c>
      <c r="H9" s="28" t="n">
        <v>0</v>
      </c>
      <c r="I9" s="28" t="n">
        <v>0</v>
      </c>
      <c r="J9" s="28" t="n">
        <v>160</v>
      </c>
      <c r="K9" s="28" t="n">
        <v>128898</v>
      </c>
      <c r="L9" s="28" t="n">
        <v>0</v>
      </c>
      <c r="M9" s="28" t="n">
        <v>128898</v>
      </c>
      <c r="N9" s="28" t="n">
        <v>0</v>
      </c>
    </row>
    <row r="10" ht="19.4" customHeight="1" s="29">
      <c r="A10" s="28" t="inlineStr">
        <is>
          <t>202510</t>
        </is>
      </c>
      <c r="B10" s="28" t="inlineStr">
        <is>
          <t>HQ</t>
        </is>
      </c>
      <c r="C10" s="28" t="inlineStr">
        <is>
          <t>ACTUAL</t>
        </is>
      </c>
      <c r="D10" s="28" t="inlineStr">
        <is>
          <t>0201</t>
        </is>
      </c>
      <c r="E10" s="28" t="inlineStr">
        <is>
          <t>MHRB</t>
        </is>
      </c>
      <c r="F10" s="64" t="inlineStr">
        <is>
          <t>제)인건비</t>
        </is>
      </c>
      <c r="G10" s="28" t="n">
        <v>160</v>
      </c>
      <c r="H10" s="28" t="n">
        <v>0</v>
      </c>
      <c r="I10" s="28" t="n">
        <v>0</v>
      </c>
      <c r="J10" s="28" t="n">
        <v>160</v>
      </c>
      <c r="K10" s="28" t="n">
        <v>3607673</v>
      </c>
      <c r="L10" s="28" t="n">
        <v>0</v>
      </c>
      <c r="M10" s="28" t="n">
        <v>3607673</v>
      </c>
      <c r="N10" s="28" t="n">
        <v>0</v>
      </c>
    </row>
    <row r="11" ht="19.4" customHeight="1" s="29">
      <c r="A11" s="28" t="inlineStr">
        <is>
          <t>202510</t>
        </is>
      </c>
      <c r="B11" s="28" t="inlineStr">
        <is>
          <t>HQ</t>
        </is>
      </c>
      <c r="C11" s="28" t="inlineStr">
        <is>
          <t>ACTUAL</t>
        </is>
      </c>
      <c r="D11" s="28" t="inlineStr">
        <is>
          <t>0201</t>
        </is>
      </c>
      <c r="E11" s="28" t="inlineStr">
        <is>
          <t>MINS</t>
        </is>
      </c>
      <c r="F11" s="64" t="inlineStr">
        <is>
          <t>제)보험료-기타</t>
        </is>
      </c>
      <c r="G11" s="28" t="n">
        <v>160</v>
      </c>
      <c r="H11" s="28" t="n">
        <v>0</v>
      </c>
      <c r="I11" s="28" t="n">
        <v>0</v>
      </c>
      <c r="J11" s="28" t="n">
        <v>160</v>
      </c>
      <c r="K11" s="28" t="n">
        <v>15486</v>
      </c>
      <c r="L11" s="28" t="n">
        <v>0</v>
      </c>
      <c r="M11" s="28" t="n">
        <v>15486</v>
      </c>
      <c r="N11" s="28" t="n">
        <v>0</v>
      </c>
    </row>
    <row r="12" ht="19.4" customHeight="1" s="29">
      <c r="A12" s="28" t="inlineStr">
        <is>
          <t>202510</t>
        </is>
      </c>
      <c r="B12" s="28" t="inlineStr">
        <is>
          <t>HQ</t>
        </is>
      </c>
      <c r="C12" s="28" t="inlineStr">
        <is>
          <t>ACTUAL</t>
        </is>
      </c>
      <c r="D12" s="28" t="inlineStr">
        <is>
          <t>0201</t>
        </is>
      </c>
      <c r="E12" s="28" t="inlineStr">
        <is>
          <t>MISC</t>
        </is>
      </c>
      <c r="F12" s="64" t="inlineStr">
        <is>
          <t>제)기타</t>
        </is>
      </c>
      <c r="G12" s="28" t="n">
        <v>160</v>
      </c>
      <c r="H12" s="28" t="n">
        <v>0</v>
      </c>
      <c r="I12" s="28" t="n">
        <v>0</v>
      </c>
      <c r="J12" s="28" t="n">
        <v>160</v>
      </c>
      <c r="K12" s="28" t="n">
        <v>11017</v>
      </c>
      <c r="L12" s="28" t="n">
        <v>0</v>
      </c>
      <c r="M12" s="28" t="n">
        <v>11017</v>
      </c>
      <c r="N12" s="28" t="n">
        <v>0</v>
      </c>
    </row>
    <row r="13" ht="19.4" customHeight="1" s="29">
      <c r="A13" s="28" t="inlineStr">
        <is>
          <t>202510</t>
        </is>
      </c>
      <c r="B13" s="28" t="inlineStr">
        <is>
          <t>HQ</t>
        </is>
      </c>
      <c r="C13" s="28" t="inlineStr">
        <is>
          <t>ACTUAL</t>
        </is>
      </c>
      <c r="D13" s="28" t="inlineStr">
        <is>
          <t>0201</t>
        </is>
      </c>
      <c r="E13" s="28" t="inlineStr">
        <is>
          <t>MMNT</t>
        </is>
      </c>
      <c r="F13" s="64" t="inlineStr">
        <is>
          <t>제)지급수수료-유지보수료</t>
        </is>
      </c>
      <c r="G13" s="28" t="n">
        <v>160</v>
      </c>
      <c r="H13" s="28" t="n">
        <v>0</v>
      </c>
      <c r="I13" s="28" t="n">
        <v>0</v>
      </c>
      <c r="J13" s="28" t="n">
        <v>160</v>
      </c>
      <c r="K13" s="28" t="n">
        <v>3289</v>
      </c>
      <c r="L13" s="28" t="n">
        <v>0</v>
      </c>
      <c r="M13" s="28" t="n">
        <v>3289</v>
      </c>
      <c r="N13" s="28" t="n">
        <v>0</v>
      </c>
    </row>
    <row r="14" ht="19.4" customHeight="1" s="29">
      <c r="A14" s="28" t="inlineStr">
        <is>
          <t>202510</t>
        </is>
      </c>
      <c r="B14" s="28" t="inlineStr">
        <is>
          <t>HQ</t>
        </is>
      </c>
      <c r="C14" s="28" t="inlineStr">
        <is>
          <t>ACTUAL</t>
        </is>
      </c>
      <c r="D14" s="28" t="inlineStr">
        <is>
          <t>0201</t>
        </is>
      </c>
      <c r="E14" s="28" t="inlineStr">
        <is>
          <t>MPEN</t>
        </is>
      </c>
      <c r="F14" s="64" t="inlineStr">
        <is>
          <t>제)세금과공과-연금보험</t>
        </is>
      </c>
      <c r="G14" s="28" t="n">
        <v>160</v>
      </c>
      <c r="H14" s="28" t="n">
        <v>0</v>
      </c>
      <c r="I14" s="28" t="n">
        <v>0</v>
      </c>
      <c r="J14" s="28" t="n">
        <v>160</v>
      </c>
      <c r="K14" s="28" t="n">
        <v>139958</v>
      </c>
      <c r="L14" s="28" t="n">
        <v>0</v>
      </c>
      <c r="M14" s="28" t="n">
        <v>139958</v>
      </c>
      <c r="N14" s="28" t="n">
        <v>0</v>
      </c>
    </row>
    <row r="15" ht="19.4" customHeight="1" s="29">
      <c r="A15" s="28" t="inlineStr">
        <is>
          <t>202510</t>
        </is>
      </c>
      <c r="B15" s="28" t="inlineStr">
        <is>
          <t>HQ</t>
        </is>
      </c>
      <c r="C15" s="28" t="inlineStr">
        <is>
          <t>ACTUAL</t>
        </is>
      </c>
      <c r="D15" s="28" t="inlineStr">
        <is>
          <t>0201</t>
        </is>
      </c>
      <c r="E15" s="28" t="inlineStr">
        <is>
          <t>MREP</t>
        </is>
      </c>
      <c r="F15" s="64" t="inlineStr">
        <is>
          <t>제)수선비</t>
        </is>
      </c>
      <c r="G15" s="28" t="n">
        <v>160</v>
      </c>
      <c r="H15" s="28" t="n">
        <v>0</v>
      </c>
      <c r="I15" s="28" t="n">
        <v>0</v>
      </c>
      <c r="J15" s="28" t="n">
        <v>160</v>
      </c>
      <c r="K15" s="28" t="n">
        <v>39703</v>
      </c>
      <c r="L15" s="28" t="n">
        <v>0</v>
      </c>
      <c r="M15" s="28" t="n">
        <v>39703</v>
      </c>
      <c r="N15" s="28" t="n">
        <v>0</v>
      </c>
    </row>
    <row r="16" ht="19.4" customHeight="1" s="29">
      <c r="A16" s="28" t="inlineStr">
        <is>
          <t>202510</t>
        </is>
      </c>
      <c r="B16" s="28" t="inlineStr">
        <is>
          <t>HQ</t>
        </is>
      </c>
      <c r="C16" s="28" t="inlineStr">
        <is>
          <t>ACTUAL</t>
        </is>
      </c>
      <c r="D16" s="28" t="inlineStr">
        <is>
          <t>0201</t>
        </is>
      </c>
      <c r="E16" s="28" t="inlineStr">
        <is>
          <t>MRNT</t>
        </is>
      </c>
      <c r="F16" s="64" t="inlineStr">
        <is>
          <t>제)지급임차료</t>
        </is>
      </c>
      <c r="G16" s="28" t="n">
        <v>160</v>
      </c>
      <c r="H16" s="28" t="n">
        <v>0</v>
      </c>
      <c r="I16" s="28" t="n">
        <v>0</v>
      </c>
      <c r="J16" s="28" t="n">
        <v>160</v>
      </c>
      <c r="K16" s="28" t="n">
        <v>2685</v>
      </c>
      <c r="L16" s="28" t="n">
        <v>0</v>
      </c>
      <c r="M16" s="28" t="n">
        <v>2685</v>
      </c>
      <c r="N16" s="28" t="n">
        <v>0</v>
      </c>
    </row>
    <row r="17" ht="19.4" customHeight="1" s="29">
      <c r="A17" s="28" t="inlineStr">
        <is>
          <t>202510</t>
        </is>
      </c>
      <c r="B17" s="28" t="inlineStr">
        <is>
          <t>HQ</t>
        </is>
      </c>
      <c r="C17" s="28" t="inlineStr">
        <is>
          <t>ACTUAL</t>
        </is>
      </c>
      <c r="D17" s="28" t="inlineStr">
        <is>
          <t>0201</t>
        </is>
      </c>
      <c r="E17" s="28" t="inlineStr">
        <is>
          <t>MSUP</t>
        </is>
      </c>
      <c r="F17" s="64" t="inlineStr">
        <is>
          <t>제)소모품비</t>
        </is>
      </c>
      <c r="G17" s="28" t="n">
        <v>160</v>
      </c>
      <c r="H17" s="28" t="n">
        <v>0</v>
      </c>
      <c r="I17" s="28" t="n">
        <v>0</v>
      </c>
      <c r="J17" s="28" t="n">
        <v>160</v>
      </c>
      <c r="K17" s="28" t="n">
        <v>124864</v>
      </c>
      <c r="L17" s="28" t="n">
        <v>0</v>
      </c>
      <c r="M17" s="28" t="n">
        <v>124864</v>
      </c>
      <c r="N17" s="28" t="n">
        <v>0</v>
      </c>
    </row>
    <row r="18" ht="19.4" customHeight="1" s="29">
      <c r="A18" s="28" t="inlineStr">
        <is>
          <t>202510</t>
        </is>
      </c>
      <c r="B18" s="28" t="inlineStr">
        <is>
          <t>HQ</t>
        </is>
      </c>
      <c r="C18" s="28" t="inlineStr">
        <is>
          <t>ACTUAL</t>
        </is>
      </c>
      <c r="D18" s="28" t="inlineStr">
        <is>
          <t>0201</t>
        </is>
      </c>
      <c r="E18" s="28" t="inlineStr">
        <is>
          <t>MTAX</t>
        </is>
      </c>
      <c r="F18" s="64" t="inlineStr">
        <is>
          <t>제)세금과공과-기타</t>
        </is>
      </c>
      <c r="G18" s="28" t="n">
        <v>160</v>
      </c>
      <c r="H18" s="28" t="n">
        <v>0</v>
      </c>
      <c r="I18" s="28" t="n">
        <v>0</v>
      </c>
      <c r="J18" s="28" t="n">
        <v>160</v>
      </c>
      <c r="K18" s="28" t="n">
        <v>16917</v>
      </c>
      <c r="L18" s="28" t="n">
        <v>0</v>
      </c>
      <c r="M18" s="28" t="n">
        <v>16917</v>
      </c>
      <c r="N18" s="28" t="n">
        <v>0</v>
      </c>
    </row>
    <row r="19" ht="19.4" customHeight="1" s="29">
      <c r="A19" s="28" t="inlineStr">
        <is>
          <t>202510</t>
        </is>
      </c>
      <c r="B19" s="28" t="inlineStr">
        <is>
          <t>HQ</t>
        </is>
      </c>
      <c r="C19" s="28" t="inlineStr">
        <is>
          <t>ACTUAL</t>
        </is>
      </c>
      <c r="D19" s="28" t="inlineStr">
        <is>
          <t>0201</t>
        </is>
      </c>
      <c r="E19" s="28" t="inlineStr">
        <is>
          <t>MTRS</t>
        </is>
      </c>
      <c r="F19" s="64" t="inlineStr">
        <is>
          <t>제)운반비</t>
        </is>
      </c>
      <c r="G19" s="28" t="n">
        <v>160</v>
      </c>
      <c r="H19" s="28" t="n">
        <v>0</v>
      </c>
      <c r="I19" s="28" t="n">
        <v>0</v>
      </c>
      <c r="J19" s="28" t="n">
        <v>160</v>
      </c>
      <c r="K19" s="28" t="n">
        <v>1083</v>
      </c>
      <c r="L19" s="28" t="n">
        <v>0</v>
      </c>
      <c r="M19" s="28" t="n">
        <v>1083</v>
      </c>
      <c r="N19" s="28" t="n">
        <v>0</v>
      </c>
    </row>
    <row r="20" ht="19.4" customHeight="1" s="29">
      <c r="A20" s="28" t="inlineStr">
        <is>
          <t>202510</t>
        </is>
      </c>
      <c r="B20" s="28" t="inlineStr">
        <is>
          <t>HQ</t>
        </is>
      </c>
      <c r="C20" s="28" t="inlineStr">
        <is>
          <t>ACTUAL</t>
        </is>
      </c>
      <c r="D20" s="28" t="inlineStr">
        <is>
          <t>0201</t>
        </is>
      </c>
      <c r="E20" s="28" t="inlineStr">
        <is>
          <t>MTRV</t>
        </is>
      </c>
      <c r="F20" s="64" t="inlineStr">
        <is>
          <t>제)여비교통비</t>
        </is>
      </c>
      <c r="G20" s="28" t="n">
        <v>160</v>
      </c>
      <c r="H20" s="28" t="n">
        <v>0</v>
      </c>
      <c r="I20" s="28" t="n">
        <v>0</v>
      </c>
      <c r="J20" s="28" t="n">
        <v>160</v>
      </c>
      <c r="K20" s="28" t="n">
        <v>2301</v>
      </c>
      <c r="L20" s="28" t="n">
        <v>0</v>
      </c>
      <c r="M20" s="28" t="n">
        <v>2301</v>
      </c>
      <c r="N20" s="28" t="n">
        <v>0</v>
      </c>
    </row>
    <row r="21" ht="19.4" customHeight="1" s="29">
      <c r="A21" s="28" t="inlineStr">
        <is>
          <t>202510</t>
        </is>
      </c>
      <c r="B21" s="28" t="inlineStr">
        <is>
          <t>HQ</t>
        </is>
      </c>
      <c r="C21" s="28" t="inlineStr">
        <is>
          <t>ACTUAL</t>
        </is>
      </c>
      <c r="D21" s="28" t="inlineStr">
        <is>
          <t>0201</t>
        </is>
      </c>
      <c r="E21" s="28" t="inlineStr">
        <is>
          <t>MUTI</t>
        </is>
      </c>
      <c r="F21" s="64" t="inlineStr">
        <is>
          <t>제)수도광열비</t>
        </is>
      </c>
      <c r="G21" s="28" t="n">
        <v>160</v>
      </c>
      <c r="H21" s="28" t="n">
        <v>0</v>
      </c>
      <c r="I21" s="28" t="n">
        <v>0</v>
      </c>
      <c r="J21" s="28" t="n">
        <v>160</v>
      </c>
      <c r="K21" s="28" t="n">
        <v>176364</v>
      </c>
      <c r="L21" s="28" t="n">
        <v>0</v>
      </c>
      <c r="M21" s="28" t="n">
        <v>176364</v>
      </c>
      <c r="N21" s="28" t="n">
        <v>0</v>
      </c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en-US</dc:language>
  <dcterms:created xmlns:dcterms="http://purl.org/dc/terms/" xmlns:xsi="http://www.w3.org/2001/XMLSchema-instance" xsi:type="dcterms:W3CDTF">2025-12-06T10:44:59Z</dcterms:created>
  <dcterms:modified xmlns:dcterms="http://purl.org/dc/terms/" xmlns:xsi="http://www.w3.org/2001/XMLSchema-instance" xsi:type="dcterms:W3CDTF">2025-12-06T10:52:46Z</dcterms:modified>
  <cp:revision>6</cp:revision>
</cp:coreProperties>
</file>